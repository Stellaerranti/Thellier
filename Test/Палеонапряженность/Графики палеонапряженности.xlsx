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430" windowHeight="156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46" i="1" l="1"/>
  <c r="V219" i="1" l="1"/>
  <c r="BL219" i="1"/>
  <c r="V2" i="1"/>
  <c r="BL2" i="1" s="1"/>
  <c r="V3" i="1"/>
  <c r="BL3" i="1" s="1"/>
  <c r="V4" i="1"/>
  <c r="BL4" i="1" s="1"/>
  <c r="V5" i="1"/>
  <c r="BL5" i="1"/>
  <c r="BF219" i="1"/>
  <c r="BF3" i="1"/>
  <c r="BF4" i="1"/>
  <c r="BF5" i="1"/>
  <c r="BF2" i="1"/>
  <c r="AQ225" i="1"/>
  <c r="AQ224" i="1"/>
  <c r="AQ226" i="1"/>
  <c r="AQ223" i="1"/>
  <c r="BN7" i="1" l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O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M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6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K153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2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6" i="1"/>
  <c r="BH7" i="1" l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6" i="1"/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6" i="1"/>
  <c r="BX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W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6" i="1"/>
  <c r="BD120" i="1" l="1"/>
  <c r="AW218" i="1"/>
  <c r="AO218" i="1"/>
  <c r="AW217" i="1"/>
  <c r="AO217" i="1"/>
  <c r="AW216" i="1"/>
  <c r="AO216" i="1"/>
  <c r="AW215" i="1"/>
  <c r="AO215" i="1"/>
  <c r="AW214" i="1"/>
  <c r="AO214" i="1"/>
  <c r="AW213" i="1"/>
  <c r="AO213" i="1"/>
  <c r="AW212" i="1"/>
  <c r="AO212" i="1"/>
  <c r="AW211" i="1"/>
  <c r="AO211" i="1"/>
  <c r="AW210" i="1"/>
  <c r="AO210" i="1"/>
  <c r="AW209" i="1"/>
  <c r="AO209" i="1"/>
  <c r="AW208" i="1"/>
  <c r="AO208" i="1"/>
  <c r="AW207" i="1"/>
  <c r="AO207" i="1"/>
  <c r="AW206" i="1"/>
  <c r="AO206" i="1"/>
  <c r="AW205" i="1"/>
  <c r="AO205" i="1"/>
  <c r="AW204" i="1"/>
  <c r="AO204" i="1"/>
  <c r="AW203" i="1"/>
  <c r="AO203" i="1"/>
  <c r="AW202" i="1"/>
  <c r="AO202" i="1"/>
  <c r="AW201" i="1"/>
  <c r="AO201" i="1"/>
  <c r="AW200" i="1"/>
  <c r="AO200" i="1"/>
  <c r="AW199" i="1"/>
  <c r="AO199" i="1"/>
  <c r="AW198" i="1"/>
  <c r="AO198" i="1"/>
  <c r="AW197" i="1"/>
  <c r="AO197" i="1"/>
  <c r="AW196" i="1"/>
  <c r="AO196" i="1"/>
  <c r="AW195" i="1"/>
  <c r="AO195" i="1"/>
  <c r="AW194" i="1"/>
  <c r="AO194" i="1"/>
  <c r="AW193" i="1"/>
  <c r="AO193" i="1"/>
  <c r="AW192" i="1"/>
  <c r="AO192" i="1"/>
  <c r="AW191" i="1"/>
  <c r="AO191" i="1"/>
  <c r="AW190" i="1"/>
  <c r="AO190" i="1"/>
  <c r="AW189" i="1"/>
  <c r="AO189" i="1"/>
  <c r="AW188" i="1"/>
  <c r="AO188" i="1"/>
  <c r="AW187" i="1"/>
  <c r="AO187" i="1"/>
  <c r="AW186" i="1"/>
  <c r="AO186" i="1"/>
  <c r="AW185" i="1"/>
  <c r="AO185" i="1"/>
  <c r="AW184" i="1"/>
  <c r="AO184" i="1"/>
  <c r="AW183" i="1"/>
  <c r="AO183" i="1"/>
  <c r="AW182" i="1"/>
  <c r="AO182" i="1"/>
  <c r="AW181" i="1"/>
  <c r="AO181" i="1"/>
  <c r="AW180" i="1"/>
  <c r="AO180" i="1"/>
  <c r="AW179" i="1"/>
  <c r="AO179" i="1"/>
  <c r="AW178" i="1"/>
  <c r="AO178" i="1"/>
  <c r="AW177" i="1"/>
  <c r="AO177" i="1"/>
  <c r="AW176" i="1"/>
  <c r="AO176" i="1"/>
  <c r="AW175" i="1"/>
  <c r="AO175" i="1"/>
  <c r="AW174" i="1"/>
  <c r="AO174" i="1"/>
  <c r="AW173" i="1"/>
  <c r="AO173" i="1"/>
  <c r="AW172" i="1"/>
  <c r="AO172" i="1"/>
  <c r="AW171" i="1"/>
  <c r="AO171" i="1"/>
  <c r="AW170" i="1"/>
  <c r="AO170" i="1"/>
  <c r="AW169" i="1"/>
  <c r="AO169" i="1"/>
  <c r="AW168" i="1"/>
  <c r="AO168" i="1"/>
  <c r="AW167" i="1"/>
  <c r="AO167" i="1"/>
  <c r="AW166" i="1"/>
  <c r="AO166" i="1"/>
  <c r="AW165" i="1"/>
  <c r="AO165" i="1"/>
  <c r="AW164" i="1"/>
  <c r="AO164" i="1"/>
  <c r="AW163" i="1"/>
  <c r="AO163" i="1"/>
  <c r="AW162" i="1"/>
  <c r="AO162" i="1"/>
  <c r="AW161" i="1"/>
  <c r="AO161" i="1"/>
  <c r="AW160" i="1"/>
  <c r="AO160" i="1"/>
  <c r="AW159" i="1"/>
  <c r="AO159" i="1"/>
  <c r="AW158" i="1"/>
  <c r="AO158" i="1"/>
  <c r="AW157" i="1"/>
  <c r="AO157" i="1"/>
  <c r="AW156" i="1"/>
  <c r="AO156" i="1"/>
  <c r="AW155" i="1"/>
  <c r="AO155" i="1"/>
  <c r="AW154" i="1"/>
  <c r="AO154" i="1"/>
  <c r="AW153" i="1"/>
  <c r="AO153" i="1"/>
  <c r="AW152" i="1"/>
  <c r="AO152" i="1"/>
  <c r="AW151" i="1"/>
  <c r="AO151" i="1"/>
  <c r="AW150" i="1"/>
  <c r="AO150" i="1"/>
  <c r="AW149" i="1"/>
  <c r="AO149" i="1"/>
  <c r="AW148" i="1"/>
  <c r="AO148" i="1"/>
  <c r="AW147" i="1"/>
  <c r="AO147" i="1"/>
  <c r="AW146" i="1"/>
  <c r="AO146" i="1"/>
  <c r="AW145" i="1"/>
  <c r="AO145" i="1"/>
  <c r="AW144" i="1"/>
  <c r="AO144" i="1"/>
  <c r="AW143" i="1"/>
  <c r="AO143" i="1"/>
  <c r="AW142" i="1"/>
  <c r="AO142" i="1"/>
  <c r="AW141" i="1"/>
  <c r="AO141" i="1"/>
  <c r="AW140" i="1"/>
  <c r="AO140" i="1"/>
  <c r="AW139" i="1"/>
  <c r="AO139" i="1"/>
  <c r="AW138" i="1"/>
  <c r="AO138" i="1"/>
  <c r="AW137" i="1"/>
  <c r="AO137" i="1"/>
  <c r="AW136" i="1"/>
  <c r="AO136" i="1"/>
  <c r="AW135" i="1"/>
  <c r="AO135" i="1"/>
  <c r="AW134" i="1"/>
  <c r="AO134" i="1"/>
  <c r="AW133" i="1"/>
  <c r="AO133" i="1"/>
  <c r="AW132" i="1"/>
  <c r="AO132" i="1"/>
  <c r="AW131" i="1"/>
  <c r="AO131" i="1"/>
  <c r="AW130" i="1"/>
  <c r="AO130" i="1"/>
  <c r="AW129" i="1"/>
  <c r="AO129" i="1"/>
  <c r="AW128" i="1"/>
  <c r="AO128" i="1"/>
  <c r="AW127" i="1"/>
  <c r="AO127" i="1"/>
  <c r="AW126" i="1"/>
  <c r="AO126" i="1"/>
  <c r="AW125" i="1"/>
  <c r="AO125" i="1"/>
  <c r="AW124" i="1"/>
  <c r="AO124" i="1"/>
  <c r="AW123" i="1"/>
  <c r="AO123" i="1"/>
  <c r="AW122" i="1"/>
  <c r="AO122" i="1"/>
  <c r="AW121" i="1"/>
  <c r="AO121" i="1"/>
  <c r="AW120" i="1"/>
  <c r="AO120" i="1"/>
  <c r="AW119" i="1"/>
  <c r="AO119" i="1"/>
  <c r="AW118" i="1"/>
  <c r="AO118" i="1"/>
  <c r="AW117" i="1"/>
  <c r="AO117" i="1"/>
  <c r="AW116" i="1"/>
  <c r="AO116" i="1"/>
  <c r="AW115" i="1"/>
  <c r="AO115" i="1"/>
  <c r="AW114" i="1"/>
  <c r="AO114" i="1"/>
  <c r="AW113" i="1"/>
  <c r="AO113" i="1"/>
  <c r="AW112" i="1"/>
  <c r="AO112" i="1"/>
  <c r="AW111" i="1"/>
  <c r="AO111" i="1"/>
  <c r="AW110" i="1"/>
  <c r="AO110" i="1"/>
  <c r="AW109" i="1"/>
  <c r="AO109" i="1"/>
  <c r="AW108" i="1"/>
  <c r="AO108" i="1"/>
  <c r="AW107" i="1"/>
  <c r="AO107" i="1"/>
  <c r="AW106" i="1"/>
  <c r="AO106" i="1"/>
  <c r="AW105" i="1"/>
  <c r="AO105" i="1"/>
  <c r="AW104" i="1"/>
  <c r="AO104" i="1"/>
  <c r="AW103" i="1"/>
  <c r="AO103" i="1"/>
  <c r="AW102" i="1"/>
  <c r="AO102" i="1"/>
  <c r="AW101" i="1"/>
  <c r="AO101" i="1"/>
  <c r="AW100" i="1"/>
  <c r="AO100" i="1"/>
  <c r="AW99" i="1"/>
  <c r="AO99" i="1"/>
  <c r="AW98" i="1"/>
  <c r="AO98" i="1"/>
  <c r="AW97" i="1"/>
  <c r="AO97" i="1"/>
  <c r="AW96" i="1"/>
  <c r="AO96" i="1"/>
  <c r="AW95" i="1"/>
  <c r="AO95" i="1"/>
  <c r="AW94" i="1"/>
  <c r="AO94" i="1"/>
  <c r="AW93" i="1"/>
  <c r="AO93" i="1"/>
  <c r="AW92" i="1"/>
  <c r="AO92" i="1"/>
  <c r="AW91" i="1"/>
  <c r="AO91" i="1"/>
  <c r="AW90" i="1"/>
  <c r="AO90" i="1"/>
  <c r="AW89" i="1"/>
  <c r="AO89" i="1"/>
  <c r="AW88" i="1"/>
  <c r="AO88" i="1"/>
  <c r="AW87" i="1"/>
  <c r="AO87" i="1"/>
  <c r="AW86" i="1"/>
  <c r="AO86" i="1"/>
  <c r="AW85" i="1"/>
  <c r="AO85" i="1"/>
  <c r="AW84" i="1"/>
  <c r="AO84" i="1"/>
  <c r="AW83" i="1"/>
  <c r="AO83" i="1"/>
  <c r="AW82" i="1"/>
  <c r="AO82" i="1"/>
  <c r="AW81" i="1"/>
  <c r="AO81" i="1"/>
  <c r="AW80" i="1"/>
  <c r="AO80" i="1"/>
  <c r="AW79" i="1"/>
  <c r="AO79" i="1"/>
  <c r="AW78" i="1"/>
  <c r="AO78" i="1"/>
  <c r="AW77" i="1"/>
  <c r="AO77" i="1"/>
  <c r="AW76" i="1"/>
  <c r="AO76" i="1"/>
  <c r="AW75" i="1"/>
  <c r="AO75" i="1"/>
  <c r="AW74" i="1"/>
  <c r="AO74" i="1"/>
  <c r="AW73" i="1"/>
  <c r="AO73" i="1"/>
  <c r="AW72" i="1"/>
  <c r="AO72" i="1"/>
  <c r="AW71" i="1"/>
  <c r="AO71" i="1"/>
  <c r="AW70" i="1"/>
  <c r="AO70" i="1"/>
  <c r="AW69" i="1"/>
  <c r="AO69" i="1"/>
  <c r="AW68" i="1"/>
  <c r="AO68" i="1"/>
  <c r="AW67" i="1"/>
  <c r="AO67" i="1"/>
  <c r="AW66" i="1"/>
  <c r="AO66" i="1"/>
  <c r="AW65" i="1"/>
  <c r="AO65" i="1"/>
  <c r="AW64" i="1"/>
  <c r="AO64" i="1"/>
  <c r="AW63" i="1"/>
  <c r="AO63" i="1"/>
  <c r="AW62" i="1"/>
  <c r="AO62" i="1"/>
  <c r="AW61" i="1"/>
  <c r="AO61" i="1"/>
  <c r="AW60" i="1"/>
  <c r="AO60" i="1"/>
  <c r="AW59" i="1"/>
  <c r="AO59" i="1"/>
  <c r="AW58" i="1"/>
  <c r="AO58" i="1"/>
  <c r="AW57" i="1"/>
  <c r="AO57" i="1"/>
  <c r="AW56" i="1"/>
  <c r="AO56" i="1"/>
  <c r="AW55" i="1"/>
  <c r="AO55" i="1"/>
  <c r="AW54" i="1"/>
  <c r="AO54" i="1"/>
  <c r="AW53" i="1"/>
  <c r="AO53" i="1"/>
  <c r="AW52" i="1"/>
  <c r="AO52" i="1"/>
  <c r="AW51" i="1"/>
  <c r="AO51" i="1"/>
  <c r="AW50" i="1"/>
  <c r="AO50" i="1"/>
  <c r="AW49" i="1"/>
  <c r="AO49" i="1"/>
  <c r="AW48" i="1"/>
  <c r="AO48" i="1"/>
  <c r="AW47" i="1"/>
  <c r="AO47" i="1"/>
  <c r="AW46" i="1"/>
  <c r="AO46" i="1"/>
  <c r="AW45" i="1"/>
  <c r="AO45" i="1"/>
  <c r="AW44" i="1"/>
  <c r="AO44" i="1"/>
  <c r="AW43" i="1"/>
  <c r="AO43" i="1"/>
  <c r="AW42" i="1"/>
  <c r="AO42" i="1"/>
  <c r="AW41" i="1"/>
  <c r="AO41" i="1"/>
  <c r="AW40" i="1"/>
  <c r="AO40" i="1"/>
  <c r="AW39" i="1"/>
  <c r="AO39" i="1"/>
  <c r="AW38" i="1"/>
  <c r="AO38" i="1"/>
  <c r="AW37" i="1"/>
  <c r="AO37" i="1"/>
  <c r="AW36" i="1"/>
  <c r="AO36" i="1"/>
  <c r="AW35" i="1"/>
  <c r="AO35" i="1"/>
  <c r="AW34" i="1"/>
  <c r="AO34" i="1"/>
  <c r="AW33" i="1"/>
  <c r="AO33" i="1"/>
  <c r="AW32" i="1"/>
  <c r="AO32" i="1"/>
  <c r="AW31" i="1"/>
  <c r="AO31" i="1"/>
  <c r="AW30" i="1"/>
  <c r="AO30" i="1"/>
  <c r="AW29" i="1"/>
  <c r="AO29" i="1"/>
  <c r="AW28" i="1"/>
  <c r="AO28" i="1"/>
  <c r="AW27" i="1"/>
  <c r="AO27" i="1"/>
  <c r="AW26" i="1"/>
  <c r="AO26" i="1"/>
  <c r="AW24" i="1"/>
  <c r="AO24" i="1"/>
  <c r="AW23" i="1"/>
  <c r="AO23" i="1"/>
  <c r="AW22" i="1"/>
  <c r="AO22" i="1"/>
  <c r="AW21" i="1"/>
  <c r="AO21" i="1"/>
  <c r="AW20" i="1"/>
  <c r="AO20" i="1"/>
  <c r="AW19" i="1"/>
  <c r="AO19" i="1"/>
  <c r="AW18" i="1"/>
  <c r="AO18" i="1"/>
  <c r="AW17" i="1"/>
  <c r="AO17" i="1"/>
  <c r="AW16" i="1"/>
  <c r="AO16" i="1"/>
  <c r="AW15" i="1"/>
  <c r="AO15" i="1"/>
  <c r="AW14" i="1"/>
  <c r="AO14" i="1"/>
  <c r="AW13" i="1"/>
  <c r="AO13" i="1"/>
  <c r="AW12" i="1"/>
  <c r="AO12" i="1"/>
  <c r="AW11" i="1"/>
  <c r="AO11" i="1"/>
  <c r="AW10" i="1"/>
  <c r="AO10" i="1"/>
  <c r="AW9" i="1"/>
  <c r="AO9" i="1"/>
  <c r="AW8" i="1"/>
  <c r="AO8" i="1"/>
  <c r="AW7" i="1"/>
  <c r="AO7" i="1"/>
  <c r="AW6" i="1"/>
  <c r="AO6" i="1"/>
  <c r="AG218" i="1"/>
  <c r="BD218" i="1" s="1"/>
  <c r="AG217" i="1"/>
  <c r="BF217" i="1" s="1"/>
  <c r="AG216" i="1"/>
  <c r="AG215" i="1"/>
  <c r="BF215" i="1" s="1"/>
  <c r="AG214" i="1"/>
  <c r="AG213" i="1"/>
  <c r="BD213" i="1" s="1"/>
  <c r="AG212" i="1"/>
  <c r="AG211" i="1"/>
  <c r="AG210" i="1"/>
  <c r="AG209" i="1"/>
  <c r="BF209" i="1" s="1"/>
  <c r="AG208" i="1"/>
  <c r="AG207" i="1"/>
  <c r="BD207" i="1" s="1"/>
  <c r="AG206" i="1"/>
  <c r="AG205" i="1"/>
  <c r="AG204" i="1"/>
  <c r="AG203" i="1"/>
  <c r="BF203" i="1" s="1"/>
  <c r="AG202" i="1"/>
  <c r="AG201" i="1"/>
  <c r="BD201" i="1" s="1"/>
  <c r="AG200" i="1"/>
  <c r="AG199" i="1"/>
  <c r="AG198" i="1"/>
  <c r="AG197" i="1"/>
  <c r="BF197" i="1" s="1"/>
  <c r="AG196" i="1"/>
  <c r="AG195" i="1"/>
  <c r="BD195" i="1" s="1"/>
  <c r="AG194" i="1"/>
  <c r="AG193" i="1"/>
  <c r="BF193" i="1" s="1"/>
  <c r="AG192" i="1"/>
  <c r="AG191" i="1"/>
  <c r="BF191" i="1" s="1"/>
  <c r="AG190" i="1"/>
  <c r="AG189" i="1"/>
  <c r="BD189" i="1" s="1"/>
  <c r="AG188" i="1"/>
  <c r="AG187" i="1"/>
  <c r="BF187" i="1" s="1"/>
  <c r="AG186" i="1"/>
  <c r="AG185" i="1"/>
  <c r="BF185" i="1" s="1"/>
  <c r="AG184" i="1"/>
  <c r="AG183" i="1"/>
  <c r="BD183" i="1" s="1"/>
  <c r="AG182" i="1"/>
  <c r="AG181" i="1"/>
  <c r="BF181" i="1" s="1"/>
  <c r="AG180" i="1"/>
  <c r="AG179" i="1"/>
  <c r="BF179" i="1" s="1"/>
  <c r="AG178" i="1"/>
  <c r="AG177" i="1"/>
  <c r="BD177" i="1" s="1"/>
  <c r="AG176" i="1"/>
  <c r="AG175" i="1"/>
  <c r="BF175" i="1" s="1"/>
  <c r="AG174" i="1"/>
  <c r="BD174" i="1" s="1"/>
  <c r="AG173" i="1"/>
  <c r="BF173" i="1" s="1"/>
  <c r="AG172" i="1"/>
  <c r="AG171" i="1"/>
  <c r="AG170" i="1"/>
  <c r="BF170" i="1" s="1"/>
  <c r="AG169" i="1"/>
  <c r="AG168" i="1"/>
  <c r="BD168" i="1" s="1"/>
  <c r="AG167" i="1"/>
  <c r="BD167" i="1" s="1"/>
  <c r="AG166" i="1"/>
  <c r="AG165" i="1"/>
  <c r="BF165" i="1" s="1"/>
  <c r="AG164" i="1"/>
  <c r="AG163" i="1"/>
  <c r="AG162" i="1"/>
  <c r="BD162" i="1" s="1"/>
  <c r="AG161" i="1"/>
  <c r="BF161" i="1" s="1"/>
  <c r="AG160" i="1"/>
  <c r="BF160" i="1" s="1"/>
  <c r="AG159" i="1"/>
  <c r="AG158" i="1"/>
  <c r="BD158" i="1" s="1"/>
  <c r="AG157" i="1"/>
  <c r="AG156" i="1"/>
  <c r="BD156" i="1" s="1"/>
  <c r="AG155" i="1"/>
  <c r="BD155" i="1" s="1"/>
  <c r="AG154" i="1"/>
  <c r="AG153" i="1"/>
  <c r="BF153" i="1" s="1"/>
  <c r="AG152" i="1"/>
  <c r="AG151" i="1"/>
  <c r="AG150" i="1"/>
  <c r="BD150" i="1" s="1"/>
  <c r="AG149" i="1"/>
  <c r="BF149" i="1" s="1"/>
  <c r="AG148" i="1"/>
  <c r="BF148" i="1" s="1"/>
  <c r="AG147" i="1"/>
  <c r="AG146" i="1"/>
  <c r="BD146" i="1" s="1"/>
  <c r="AG145" i="1"/>
  <c r="AG144" i="1"/>
  <c r="AG143" i="1"/>
  <c r="AG142" i="1"/>
  <c r="AG141" i="1"/>
  <c r="AG140" i="1"/>
  <c r="AG139" i="1"/>
  <c r="AG138" i="1"/>
  <c r="AG137" i="1"/>
  <c r="BF137" i="1" s="1"/>
  <c r="AG136" i="1"/>
  <c r="AG135" i="1"/>
  <c r="AG134" i="1"/>
  <c r="BD134" i="1" s="1"/>
  <c r="AG133" i="1"/>
  <c r="AG132" i="1"/>
  <c r="AG131" i="1"/>
  <c r="AG130" i="1"/>
  <c r="AG129" i="1"/>
  <c r="AG128" i="1"/>
  <c r="AG127" i="1"/>
  <c r="AG126" i="1"/>
  <c r="AG125" i="1"/>
  <c r="BF125" i="1" s="1"/>
  <c r="AG124" i="1"/>
  <c r="AG123" i="1"/>
  <c r="AG122" i="1"/>
  <c r="BD122" i="1" s="1"/>
  <c r="AG121" i="1"/>
  <c r="AG120" i="1"/>
  <c r="AG119" i="1"/>
  <c r="AG118" i="1"/>
  <c r="AG117" i="1"/>
  <c r="AG116" i="1"/>
  <c r="AG115" i="1"/>
  <c r="AG114" i="1"/>
  <c r="AG113" i="1"/>
  <c r="BF113" i="1" s="1"/>
  <c r="AG112" i="1"/>
  <c r="AG111" i="1"/>
  <c r="AG110" i="1"/>
  <c r="BD110" i="1" s="1"/>
  <c r="AG109" i="1"/>
  <c r="AG108" i="1"/>
  <c r="AG107" i="1"/>
  <c r="AG106" i="1"/>
  <c r="AG105" i="1"/>
  <c r="AG104" i="1"/>
  <c r="AG103" i="1"/>
  <c r="AG102" i="1"/>
  <c r="AG101" i="1"/>
  <c r="BF101" i="1" s="1"/>
  <c r="AG100" i="1"/>
  <c r="AG99" i="1"/>
  <c r="AG98" i="1"/>
  <c r="BD98" i="1" s="1"/>
  <c r="AG97" i="1"/>
  <c r="AG96" i="1"/>
  <c r="AG95" i="1"/>
  <c r="AG94" i="1"/>
  <c r="AG93" i="1"/>
  <c r="AG92" i="1"/>
  <c r="AG91" i="1"/>
  <c r="AG90" i="1"/>
  <c r="AG89" i="1"/>
  <c r="BF89" i="1" s="1"/>
  <c r="AG88" i="1"/>
  <c r="AG87" i="1"/>
  <c r="AG86" i="1"/>
  <c r="BD86" i="1" s="1"/>
  <c r="AG85" i="1"/>
  <c r="AG84" i="1"/>
  <c r="AG83" i="1"/>
  <c r="AG82" i="1"/>
  <c r="AG81" i="1"/>
  <c r="BD81" i="1" s="1"/>
  <c r="AG80" i="1"/>
  <c r="AG79" i="1"/>
  <c r="AG78" i="1"/>
  <c r="AG77" i="1"/>
  <c r="AG76" i="1"/>
  <c r="AG75" i="1"/>
  <c r="BD75" i="1" s="1"/>
  <c r="AG74" i="1"/>
  <c r="AG73" i="1"/>
  <c r="AG72" i="1"/>
  <c r="AG71" i="1"/>
  <c r="AG70" i="1"/>
  <c r="AG69" i="1"/>
  <c r="BD69" i="1" s="1"/>
  <c r="AG68" i="1"/>
  <c r="AG67" i="1"/>
  <c r="AG66" i="1"/>
  <c r="AG65" i="1"/>
  <c r="AG64" i="1"/>
  <c r="AG63" i="1"/>
  <c r="BD63" i="1" s="1"/>
  <c r="AG62" i="1"/>
  <c r="AG61" i="1"/>
  <c r="AG60" i="1"/>
  <c r="AG59" i="1"/>
  <c r="AG58" i="1"/>
  <c r="AG57" i="1"/>
  <c r="BD57" i="1" s="1"/>
  <c r="AG56" i="1"/>
  <c r="AG55" i="1"/>
  <c r="AG54" i="1"/>
  <c r="AG53" i="1"/>
  <c r="AG52" i="1"/>
  <c r="AG51" i="1"/>
  <c r="BD51" i="1" s="1"/>
  <c r="AG50" i="1"/>
  <c r="AG49" i="1"/>
  <c r="AG48" i="1"/>
  <c r="AG47" i="1"/>
  <c r="AG46" i="1"/>
  <c r="AG45" i="1"/>
  <c r="BD45" i="1" s="1"/>
  <c r="AG44" i="1"/>
  <c r="AG43" i="1"/>
  <c r="AG42" i="1"/>
  <c r="AG41" i="1"/>
  <c r="AG40" i="1"/>
  <c r="AG39" i="1"/>
  <c r="BF39" i="1" s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4" i="1"/>
  <c r="AG23" i="1"/>
  <c r="AG22" i="1"/>
  <c r="AG21" i="1"/>
  <c r="AG20" i="1"/>
  <c r="BF20" i="1" s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BD165" i="1" l="1"/>
  <c r="BD6" i="1"/>
  <c r="BD103" i="1"/>
  <c r="BF150" i="1"/>
  <c r="BF134" i="1"/>
  <c r="BD9" i="1"/>
  <c r="BD172" i="1"/>
  <c r="BD160" i="1"/>
  <c r="BF75" i="1"/>
  <c r="BF57" i="1"/>
  <c r="BF155" i="1"/>
  <c r="BD91" i="1"/>
  <c r="BD115" i="1"/>
  <c r="BD127" i="1"/>
  <c r="BD139" i="1"/>
  <c r="BD151" i="1"/>
  <c r="BD163" i="1"/>
  <c r="BD199" i="1"/>
  <c r="BD205" i="1"/>
  <c r="BD211" i="1"/>
  <c r="BF174" i="1"/>
  <c r="BD148" i="1"/>
  <c r="BF24" i="1"/>
  <c r="BD24" i="1"/>
  <c r="BF43" i="1"/>
  <c r="BD43" i="1"/>
  <c r="BF61" i="1"/>
  <c r="BD61" i="1"/>
  <c r="BF79" i="1"/>
  <c r="BD79" i="1"/>
  <c r="BD97" i="1"/>
  <c r="BF97" i="1"/>
  <c r="BD109" i="1"/>
  <c r="BF109" i="1"/>
  <c r="BD145" i="1"/>
  <c r="BF145" i="1"/>
  <c r="BF15" i="1"/>
  <c r="BD15" i="1"/>
  <c r="BF28" i="1"/>
  <c r="BD28" i="1"/>
  <c r="BF40" i="1"/>
  <c r="BD40" i="1"/>
  <c r="BF52" i="1"/>
  <c r="BD52" i="1"/>
  <c r="BF70" i="1"/>
  <c r="BD70" i="1"/>
  <c r="BF82" i="1"/>
  <c r="BD82" i="1"/>
  <c r="BF94" i="1"/>
  <c r="BD94" i="1"/>
  <c r="BF106" i="1"/>
  <c r="BD106" i="1"/>
  <c r="BF118" i="1"/>
  <c r="BD118" i="1"/>
  <c r="BF130" i="1"/>
  <c r="BD130" i="1"/>
  <c r="BF166" i="1"/>
  <c r="BD166" i="1"/>
  <c r="BF178" i="1"/>
  <c r="BD178" i="1"/>
  <c r="BF190" i="1"/>
  <c r="BD190" i="1"/>
  <c r="BF202" i="1"/>
  <c r="BD202" i="1"/>
  <c r="BF214" i="1"/>
  <c r="BD214" i="1"/>
  <c r="BD16" i="1"/>
  <c r="BF16" i="1"/>
  <c r="BD22" i="1"/>
  <c r="BF22" i="1"/>
  <c r="BD35" i="1"/>
  <c r="BF35" i="1"/>
  <c r="BD47" i="1"/>
  <c r="BF47" i="1"/>
  <c r="BD53" i="1"/>
  <c r="BF53" i="1"/>
  <c r="BD65" i="1"/>
  <c r="BF65" i="1"/>
  <c r="BD77" i="1"/>
  <c r="BF77" i="1"/>
  <c r="BD95" i="1"/>
  <c r="BF95" i="1"/>
  <c r="BD119" i="1"/>
  <c r="BF119" i="1"/>
  <c r="BD11" i="1"/>
  <c r="BF11" i="1"/>
  <c r="BF17" i="1"/>
  <c r="BF23" i="1"/>
  <c r="BF30" i="1"/>
  <c r="BF36" i="1"/>
  <c r="BF42" i="1"/>
  <c r="BF48" i="1"/>
  <c r="BF54" i="1"/>
  <c r="BF60" i="1"/>
  <c r="BF66" i="1"/>
  <c r="BF72" i="1"/>
  <c r="BF78" i="1"/>
  <c r="BF84" i="1"/>
  <c r="BD90" i="1"/>
  <c r="BF90" i="1"/>
  <c r="BF96" i="1"/>
  <c r="BD102" i="1"/>
  <c r="BF102" i="1"/>
  <c r="BF108" i="1"/>
  <c r="BD114" i="1"/>
  <c r="BF114" i="1"/>
  <c r="BF120" i="1"/>
  <c r="BD126" i="1"/>
  <c r="BF126" i="1"/>
  <c r="BF132" i="1"/>
  <c r="BD138" i="1"/>
  <c r="BF138" i="1"/>
  <c r="BF144" i="1"/>
  <c r="BF156" i="1"/>
  <c r="BF168" i="1"/>
  <c r="BF180" i="1"/>
  <c r="BD180" i="1"/>
  <c r="BF186" i="1"/>
  <c r="BD186" i="1"/>
  <c r="BF192" i="1"/>
  <c r="BD192" i="1"/>
  <c r="BF198" i="1"/>
  <c r="BD198" i="1"/>
  <c r="BF204" i="1"/>
  <c r="BD204" i="1"/>
  <c r="BF210" i="1"/>
  <c r="BD210" i="1"/>
  <c r="BF216" i="1"/>
  <c r="BD216" i="1"/>
  <c r="BD215" i="1"/>
  <c r="BD209" i="1"/>
  <c r="BD203" i="1"/>
  <c r="BD197" i="1"/>
  <c r="BD191" i="1"/>
  <c r="BD185" i="1"/>
  <c r="BD179" i="1"/>
  <c r="BD175" i="1"/>
  <c r="BD170" i="1"/>
  <c r="BD149" i="1"/>
  <c r="BD137" i="1"/>
  <c r="BF122" i="1"/>
  <c r="BD108" i="1"/>
  <c r="BD78" i="1"/>
  <c r="BD60" i="1"/>
  <c r="BD42" i="1"/>
  <c r="BD23" i="1"/>
  <c r="BD12" i="1"/>
  <c r="BF12" i="1"/>
  <c r="BF37" i="1"/>
  <c r="BD37" i="1"/>
  <c r="BF55" i="1"/>
  <c r="BD55" i="1"/>
  <c r="BF73" i="1"/>
  <c r="BD73" i="1"/>
  <c r="BD157" i="1"/>
  <c r="BF157" i="1"/>
  <c r="BF6" i="1"/>
  <c r="BF211" i="1"/>
  <c r="BF205" i="1"/>
  <c r="BF199" i="1"/>
  <c r="BF91" i="1"/>
  <c r="BD7" i="1"/>
  <c r="BF7" i="1"/>
  <c r="BD13" i="1"/>
  <c r="BF13" i="1"/>
  <c r="BF19" i="1"/>
  <c r="BD19" i="1"/>
  <c r="BF26" i="1"/>
  <c r="BD26" i="1"/>
  <c r="BF32" i="1"/>
  <c r="BD32" i="1"/>
  <c r="BF38" i="1"/>
  <c r="BD38" i="1"/>
  <c r="BF44" i="1"/>
  <c r="BD44" i="1"/>
  <c r="BF50" i="1"/>
  <c r="BD50" i="1"/>
  <c r="BF56" i="1"/>
  <c r="BD56" i="1"/>
  <c r="BF62" i="1"/>
  <c r="BD62" i="1"/>
  <c r="BF68" i="1"/>
  <c r="BD68" i="1"/>
  <c r="BF74" i="1"/>
  <c r="BD74" i="1"/>
  <c r="BF80" i="1"/>
  <c r="BD80" i="1"/>
  <c r="BD92" i="1"/>
  <c r="BF92" i="1"/>
  <c r="BD104" i="1"/>
  <c r="BF104" i="1"/>
  <c r="BD116" i="1"/>
  <c r="BF116" i="1"/>
  <c r="BD128" i="1"/>
  <c r="BF128" i="1"/>
  <c r="BD140" i="1"/>
  <c r="BF140" i="1"/>
  <c r="BD152" i="1"/>
  <c r="BF152" i="1"/>
  <c r="BD164" i="1"/>
  <c r="BF164" i="1"/>
  <c r="BD176" i="1"/>
  <c r="BF176" i="1"/>
  <c r="BF182" i="1"/>
  <c r="BD182" i="1"/>
  <c r="BF188" i="1"/>
  <c r="BD188" i="1"/>
  <c r="BF194" i="1"/>
  <c r="BD194" i="1"/>
  <c r="BF200" i="1"/>
  <c r="BD200" i="1"/>
  <c r="BF206" i="1"/>
  <c r="BD206" i="1"/>
  <c r="BF212" i="1"/>
  <c r="BD212" i="1"/>
  <c r="BD217" i="1"/>
  <c r="BD193" i="1"/>
  <c r="BD187" i="1"/>
  <c r="BD181" i="1"/>
  <c r="BD173" i="1"/>
  <c r="BF163" i="1"/>
  <c r="BF158" i="1"/>
  <c r="BF146" i="1"/>
  <c r="BD132" i="1"/>
  <c r="BF103" i="1"/>
  <c r="BD89" i="1"/>
  <c r="BD72" i="1"/>
  <c r="BD54" i="1"/>
  <c r="BD36" i="1"/>
  <c r="BD17" i="1"/>
  <c r="BF18" i="1"/>
  <c r="BD18" i="1"/>
  <c r="BF31" i="1"/>
  <c r="BD31" i="1"/>
  <c r="BF49" i="1"/>
  <c r="BD49" i="1"/>
  <c r="BF67" i="1"/>
  <c r="BD67" i="1"/>
  <c r="BD85" i="1"/>
  <c r="BF85" i="1"/>
  <c r="BD121" i="1"/>
  <c r="BF121" i="1"/>
  <c r="BD169" i="1"/>
  <c r="BF169" i="1"/>
  <c r="BD8" i="1"/>
  <c r="BF8" i="1"/>
  <c r="BD14" i="1"/>
  <c r="BF14" i="1"/>
  <c r="BD20" i="1"/>
  <c r="BD27" i="1"/>
  <c r="BD33" i="1"/>
  <c r="BD39" i="1"/>
  <c r="BF87" i="1"/>
  <c r="BD87" i="1"/>
  <c r="BD93" i="1"/>
  <c r="BF93" i="1"/>
  <c r="BF99" i="1"/>
  <c r="BD99" i="1"/>
  <c r="BD105" i="1"/>
  <c r="BF105" i="1"/>
  <c r="BF111" i="1"/>
  <c r="BD111" i="1"/>
  <c r="BD117" i="1"/>
  <c r="BF117" i="1"/>
  <c r="BF123" i="1"/>
  <c r="BD123" i="1"/>
  <c r="BD129" i="1"/>
  <c r="BF129" i="1"/>
  <c r="BF135" i="1"/>
  <c r="BD135" i="1"/>
  <c r="BD141" i="1"/>
  <c r="BF141" i="1"/>
  <c r="BF147" i="1"/>
  <c r="BD147" i="1"/>
  <c r="BF159" i="1"/>
  <c r="BD159" i="1"/>
  <c r="BF171" i="1"/>
  <c r="BD171" i="1"/>
  <c r="BF213" i="1"/>
  <c r="BF207" i="1"/>
  <c r="BF201" i="1"/>
  <c r="BF195" i="1"/>
  <c r="BF189" i="1"/>
  <c r="BF183" i="1"/>
  <c r="BF177" i="1"/>
  <c r="BF172" i="1"/>
  <c r="BD153" i="1"/>
  <c r="BD144" i="1"/>
  <c r="BF115" i="1"/>
  <c r="BD101" i="1"/>
  <c r="BF86" i="1"/>
  <c r="BF69" i="1"/>
  <c r="BF51" i="1"/>
  <c r="BF33" i="1"/>
  <c r="BF167" i="1"/>
  <c r="BF162" i="1"/>
  <c r="BF151" i="1"/>
  <c r="BF127" i="1"/>
  <c r="BD113" i="1"/>
  <c r="BF98" i="1"/>
  <c r="BD84" i="1"/>
  <c r="BD66" i="1"/>
  <c r="BD48" i="1"/>
  <c r="BD30" i="1"/>
  <c r="BD133" i="1"/>
  <c r="BF133" i="1"/>
  <c r="BF21" i="1"/>
  <c r="BD21" i="1"/>
  <c r="BF34" i="1"/>
  <c r="BD34" i="1"/>
  <c r="BF46" i="1"/>
  <c r="BD46" i="1"/>
  <c r="BF58" i="1"/>
  <c r="BD58" i="1"/>
  <c r="BF64" i="1"/>
  <c r="BD64" i="1"/>
  <c r="BF76" i="1"/>
  <c r="BD76" i="1"/>
  <c r="BD88" i="1"/>
  <c r="BF88" i="1"/>
  <c r="BD100" i="1"/>
  <c r="BF100" i="1"/>
  <c r="BD112" i="1"/>
  <c r="BF112" i="1"/>
  <c r="BD124" i="1"/>
  <c r="BF124" i="1"/>
  <c r="BD136" i="1"/>
  <c r="BF136" i="1"/>
  <c r="BF142" i="1"/>
  <c r="BD142" i="1"/>
  <c r="BF154" i="1"/>
  <c r="BD154" i="1"/>
  <c r="BF184" i="1"/>
  <c r="BD184" i="1"/>
  <c r="BF196" i="1"/>
  <c r="BD196" i="1"/>
  <c r="BF208" i="1"/>
  <c r="BD208" i="1"/>
  <c r="BF10" i="1"/>
  <c r="BD10" i="1"/>
  <c r="BD29" i="1"/>
  <c r="BF29" i="1"/>
  <c r="BD41" i="1"/>
  <c r="BF41" i="1"/>
  <c r="BD59" i="1"/>
  <c r="BF59" i="1"/>
  <c r="BD71" i="1"/>
  <c r="BF71" i="1"/>
  <c r="BD83" i="1"/>
  <c r="BF83" i="1"/>
  <c r="BD107" i="1"/>
  <c r="BF107" i="1"/>
  <c r="BD131" i="1"/>
  <c r="BF131" i="1"/>
  <c r="BD143" i="1"/>
  <c r="BF143" i="1"/>
  <c r="BF218" i="1"/>
  <c r="BD161" i="1"/>
  <c r="BF139" i="1"/>
  <c r="BD125" i="1"/>
  <c r="BF110" i="1"/>
  <c r="BD96" i="1"/>
  <c r="BF81" i="1"/>
  <c r="BF63" i="1"/>
  <c r="BF45" i="1"/>
  <c r="BF27" i="1"/>
  <c r="BF9" i="1"/>
  <c r="V218" i="1"/>
  <c r="T218" i="1"/>
  <c r="V217" i="1"/>
  <c r="T217" i="1"/>
  <c r="V216" i="1"/>
  <c r="T216" i="1"/>
  <c r="V215" i="1"/>
  <c r="T215" i="1"/>
  <c r="V214" i="1"/>
  <c r="T214" i="1"/>
  <c r="V213" i="1"/>
  <c r="T213" i="1"/>
  <c r="V212" i="1"/>
  <c r="T212" i="1"/>
  <c r="V211" i="1"/>
  <c r="T211" i="1"/>
  <c r="V210" i="1"/>
  <c r="T210" i="1"/>
  <c r="V209" i="1"/>
  <c r="T209" i="1"/>
  <c r="V208" i="1"/>
  <c r="T208" i="1"/>
  <c r="V207" i="1"/>
  <c r="T207" i="1"/>
  <c r="V206" i="1"/>
  <c r="T206" i="1"/>
  <c r="V205" i="1"/>
  <c r="T205" i="1"/>
  <c r="V204" i="1"/>
  <c r="T204" i="1"/>
  <c r="V203" i="1"/>
  <c r="T203" i="1"/>
  <c r="V202" i="1"/>
  <c r="T202" i="1"/>
  <c r="V201" i="1"/>
  <c r="T201" i="1"/>
  <c r="V200" i="1"/>
  <c r="T200" i="1"/>
  <c r="V199" i="1"/>
  <c r="T199" i="1"/>
  <c r="V198" i="1"/>
  <c r="T198" i="1"/>
  <c r="V197" i="1"/>
  <c r="T197" i="1"/>
  <c r="V196" i="1"/>
  <c r="T196" i="1"/>
  <c r="V195" i="1"/>
  <c r="T195" i="1"/>
  <c r="V194" i="1"/>
  <c r="T194" i="1"/>
  <c r="V193" i="1"/>
  <c r="T193" i="1"/>
  <c r="V192" i="1"/>
  <c r="T192" i="1"/>
  <c r="V191" i="1"/>
  <c r="T191" i="1"/>
  <c r="V190" i="1"/>
  <c r="T190" i="1"/>
  <c r="V189" i="1"/>
  <c r="T189" i="1"/>
  <c r="V188" i="1"/>
  <c r="T188" i="1"/>
  <c r="V187" i="1"/>
  <c r="T187" i="1"/>
  <c r="V186" i="1"/>
  <c r="T186" i="1"/>
  <c r="V185" i="1"/>
  <c r="T185" i="1"/>
  <c r="V184" i="1"/>
  <c r="T184" i="1"/>
  <c r="V183" i="1"/>
  <c r="T183" i="1"/>
  <c r="V182" i="1"/>
  <c r="T182" i="1"/>
  <c r="V181" i="1"/>
  <c r="T181" i="1"/>
  <c r="V180" i="1"/>
  <c r="T180" i="1"/>
  <c r="V179" i="1"/>
  <c r="T179" i="1"/>
  <c r="V178" i="1"/>
  <c r="T178" i="1"/>
  <c r="V177" i="1"/>
  <c r="T177" i="1"/>
  <c r="V176" i="1"/>
  <c r="T176" i="1"/>
  <c r="V175" i="1"/>
  <c r="T175" i="1"/>
  <c r="V174" i="1"/>
  <c r="T174" i="1"/>
  <c r="V173" i="1"/>
  <c r="T173" i="1"/>
  <c r="V172" i="1"/>
  <c r="T172" i="1"/>
  <c r="V171" i="1"/>
  <c r="T171" i="1"/>
  <c r="V170" i="1"/>
  <c r="T170" i="1"/>
  <c r="V169" i="1"/>
  <c r="T169" i="1"/>
  <c r="V168" i="1"/>
  <c r="T168" i="1"/>
  <c r="V167" i="1"/>
  <c r="T167" i="1"/>
  <c r="V166" i="1"/>
  <c r="T166" i="1"/>
  <c r="V165" i="1"/>
  <c r="T165" i="1"/>
  <c r="V164" i="1"/>
  <c r="T164" i="1"/>
  <c r="V163" i="1"/>
  <c r="T163" i="1"/>
  <c r="V162" i="1"/>
  <c r="T162" i="1"/>
  <c r="V161" i="1"/>
  <c r="T161" i="1"/>
  <c r="V160" i="1"/>
  <c r="T160" i="1"/>
  <c r="V159" i="1"/>
  <c r="T159" i="1"/>
  <c r="V158" i="1"/>
  <c r="T158" i="1"/>
  <c r="V157" i="1"/>
  <c r="T157" i="1"/>
  <c r="V156" i="1"/>
  <c r="T156" i="1"/>
  <c r="V155" i="1"/>
  <c r="T155" i="1"/>
  <c r="V154" i="1"/>
  <c r="T154" i="1"/>
  <c r="V153" i="1"/>
  <c r="T153" i="1"/>
  <c r="V152" i="1"/>
  <c r="T152" i="1"/>
  <c r="V151" i="1"/>
  <c r="T151" i="1"/>
  <c r="V150" i="1"/>
  <c r="T150" i="1"/>
  <c r="V149" i="1"/>
  <c r="T149" i="1"/>
  <c r="V148" i="1"/>
  <c r="T148" i="1"/>
  <c r="V147" i="1"/>
  <c r="T147" i="1"/>
  <c r="V146" i="1"/>
  <c r="T146" i="1"/>
  <c r="V145" i="1"/>
  <c r="T145" i="1"/>
  <c r="V144" i="1"/>
  <c r="T144" i="1"/>
  <c r="V143" i="1"/>
  <c r="T143" i="1"/>
  <c r="V142" i="1"/>
  <c r="T142" i="1"/>
  <c r="V141" i="1"/>
  <c r="T141" i="1"/>
  <c r="V140" i="1"/>
  <c r="T140" i="1"/>
  <c r="V139" i="1"/>
  <c r="T139" i="1"/>
  <c r="V138" i="1"/>
  <c r="T138" i="1"/>
  <c r="V137" i="1"/>
  <c r="T137" i="1"/>
  <c r="V136" i="1"/>
  <c r="T136" i="1"/>
  <c r="V135" i="1"/>
  <c r="T135" i="1"/>
  <c r="V134" i="1"/>
  <c r="T134" i="1"/>
  <c r="V133" i="1"/>
  <c r="T133" i="1"/>
  <c r="V132" i="1"/>
  <c r="T132" i="1"/>
  <c r="V131" i="1"/>
  <c r="T131" i="1"/>
  <c r="V130" i="1"/>
  <c r="T130" i="1"/>
  <c r="V129" i="1"/>
  <c r="T129" i="1"/>
  <c r="V128" i="1"/>
  <c r="T128" i="1"/>
  <c r="V127" i="1"/>
  <c r="T127" i="1"/>
  <c r="V126" i="1"/>
  <c r="T126" i="1"/>
  <c r="V125" i="1"/>
  <c r="T125" i="1"/>
  <c r="V124" i="1"/>
  <c r="T124" i="1"/>
  <c r="V123" i="1"/>
  <c r="T123" i="1"/>
  <c r="V122" i="1"/>
  <c r="T122" i="1"/>
  <c r="V121" i="1"/>
  <c r="T121" i="1"/>
  <c r="V120" i="1"/>
  <c r="T120" i="1"/>
  <c r="V119" i="1"/>
  <c r="T119" i="1"/>
  <c r="V118" i="1"/>
  <c r="T118" i="1"/>
  <c r="V117" i="1"/>
  <c r="T117" i="1"/>
  <c r="V116" i="1"/>
  <c r="T116" i="1"/>
  <c r="V115" i="1"/>
  <c r="T115" i="1"/>
  <c r="V114" i="1"/>
  <c r="T114" i="1"/>
  <c r="V113" i="1"/>
  <c r="T113" i="1"/>
  <c r="V112" i="1"/>
  <c r="T112" i="1"/>
  <c r="V111" i="1"/>
  <c r="T111" i="1"/>
  <c r="V110" i="1"/>
  <c r="T110" i="1"/>
  <c r="V109" i="1"/>
  <c r="T109" i="1"/>
  <c r="V108" i="1"/>
  <c r="T108" i="1"/>
  <c r="V107" i="1"/>
  <c r="T107" i="1"/>
  <c r="V106" i="1"/>
  <c r="T106" i="1"/>
  <c r="V105" i="1"/>
  <c r="T105" i="1"/>
  <c r="V104" i="1"/>
  <c r="T104" i="1"/>
  <c r="V103" i="1"/>
  <c r="T103" i="1"/>
  <c r="V102" i="1"/>
  <c r="T102" i="1"/>
  <c r="V101" i="1"/>
  <c r="T101" i="1"/>
  <c r="V100" i="1"/>
  <c r="T100" i="1"/>
  <c r="V99" i="1"/>
  <c r="T99" i="1"/>
  <c r="V98" i="1"/>
  <c r="T98" i="1"/>
  <c r="V97" i="1"/>
  <c r="T97" i="1"/>
  <c r="V96" i="1"/>
  <c r="T96" i="1"/>
  <c r="V95" i="1"/>
  <c r="T95" i="1"/>
  <c r="V94" i="1"/>
  <c r="T94" i="1"/>
  <c r="V93" i="1"/>
  <c r="T93" i="1"/>
  <c r="V92" i="1"/>
  <c r="T92" i="1"/>
  <c r="V91" i="1"/>
  <c r="T91" i="1"/>
  <c r="V90" i="1"/>
  <c r="T90" i="1"/>
  <c r="V89" i="1"/>
  <c r="T89" i="1"/>
  <c r="V88" i="1"/>
  <c r="T88" i="1"/>
  <c r="V87" i="1"/>
  <c r="T87" i="1"/>
  <c r="V86" i="1"/>
  <c r="T86" i="1"/>
  <c r="V85" i="1"/>
  <c r="T85" i="1"/>
  <c r="V84" i="1"/>
  <c r="T84" i="1"/>
  <c r="V83" i="1"/>
  <c r="T83" i="1"/>
  <c r="V82" i="1"/>
  <c r="T82" i="1"/>
  <c r="V81" i="1"/>
  <c r="T81" i="1"/>
  <c r="V80" i="1"/>
  <c r="T80" i="1"/>
  <c r="V79" i="1"/>
  <c r="T79" i="1"/>
  <c r="V78" i="1"/>
  <c r="T78" i="1"/>
  <c r="V77" i="1"/>
  <c r="T77" i="1"/>
  <c r="V76" i="1"/>
  <c r="T76" i="1"/>
  <c r="V75" i="1"/>
  <c r="T75" i="1"/>
  <c r="V74" i="1"/>
  <c r="T74" i="1"/>
  <c r="V73" i="1"/>
  <c r="T73" i="1"/>
  <c r="V72" i="1"/>
  <c r="T72" i="1"/>
  <c r="V71" i="1"/>
  <c r="T71" i="1"/>
  <c r="V70" i="1"/>
  <c r="T70" i="1"/>
  <c r="V69" i="1"/>
  <c r="T69" i="1"/>
  <c r="V68" i="1"/>
  <c r="T68" i="1"/>
  <c r="V67" i="1"/>
  <c r="T67" i="1"/>
  <c r="V66" i="1"/>
  <c r="T66" i="1"/>
  <c r="V65" i="1"/>
  <c r="T65" i="1"/>
  <c r="V64" i="1"/>
  <c r="T64" i="1"/>
  <c r="V63" i="1"/>
  <c r="T63" i="1"/>
  <c r="V62" i="1"/>
  <c r="T62" i="1"/>
  <c r="V61" i="1"/>
  <c r="T61" i="1"/>
  <c r="V60" i="1"/>
  <c r="T60" i="1"/>
  <c r="V59" i="1"/>
  <c r="T59" i="1"/>
  <c r="V58" i="1"/>
  <c r="T58" i="1"/>
  <c r="V57" i="1"/>
  <c r="T57" i="1"/>
  <c r="V56" i="1"/>
  <c r="T56" i="1"/>
  <c r="V55" i="1"/>
  <c r="T55" i="1"/>
  <c r="V54" i="1"/>
  <c r="T54" i="1"/>
  <c r="V53" i="1"/>
  <c r="T53" i="1"/>
  <c r="V52" i="1"/>
  <c r="T52" i="1"/>
  <c r="V51" i="1"/>
  <c r="T51" i="1"/>
  <c r="V50" i="1"/>
  <c r="T50" i="1"/>
  <c r="V49" i="1"/>
  <c r="T49" i="1"/>
  <c r="V48" i="1"/>
  <c r="T48" i="1"/>
  <c r="V47" i="1"/>
  <c r="T47" i="1"/>
  <c r="V46" i="1"/>
  <c r="T46" i="1"/>
  <c r="V45" i="1"/>
  <c r="T45" i="1"/>
  <c r="V44" i="1"/>
  <c r="T44" i="1"/>
  <c r="V43" i="1"/>
  <c r="T43" i="1"/>
  <c r="V42" i="1"/>
  <c r="T42" i="1"/>
  <c r="V41" i="1"/>
  <c r="T41" i="1"/>
  <c r="V40" i="1"/>
  <c r="T40" i="1"/>
  <c r="V39" i="1"/>
  <c r="T39" i="1"/>
  <c r="V38" i="1"/>
  <c r="T38" i="1"/>
  <c r="V37" i="1"/>
  <c r="T37" i="1"/>
  <c r="V36" i="1"/>
  <c r="T36" i="1"/>
  <c r="V35" i="1"/>
  <c r="T35" i="1"/>
  <c r="V34" i="1"/>
  <c r="T34" i="1"/>
  <c r="V33" i="1"/>
  <c r="T33" i="1"/>
  <c r="V32" i="1"/>
  <c r="T32" i="1"/>
  <c r="V31" i="1"/>
  <c r="T31" i="1"/>
  <c r="V30" i="1"/>
  <c r="T30" i="1"/>
  <c r="V29" i="1"/>
  <c r="T29" i="1"/>
  <c r="V28" i="1"/>
  <c r="T28" i="1"/>
  <c r="V27" i="1"/>
  <c r="T27" i="1"/>
  <c r="V26" i="1"/>
  <c r="T26" i="1"/>
  <c r="V24" i="1"/>
  <c r="T24" i="1"/>
  <c r="V23" i="1"/>
  <c r="T23" i="1"/>
  <c r="V22" i="1"/>
  <c r="T22" i="1"/>
  <c r="V21" i="1"/>
  <c r="T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V10" i="1"/>
  <c r="T10" i="1"/>
  <c r="V9" i="1"/>
  <c r="T9" i="1"/>
  <c r="V8" i="1"/>
  <c r="T8" i="1"/>
  <c r="V7" i="1"/>
  <c r="T7" i="1"/>
  <c r="V6" i="1"/>
  <c r="T6" i="1"/>
</calcChain>
</file>

<file path=xl/sharedStrings.xml><?xml version="1.0" encoding="utf-8"?>
<sst xmlns="http://schemas.openxmlformats.org/spreadsheetml/2006/main" count="3473" uniqueCount="459">
  <si>
    <t>Mag/Vol A/m</t>
  </si>
  <si>
    <t>Mag Am2</t>
  </si>
  <si>
    <t>delta NRM(35-55)</t>
  </si>
  <si>
    <t>delta NRM(35-60)</t>
  </si>
  <si>
    <t>1-1a.pmd</t>
  </si>
  <si>
    <t>M035</t>
  </si>
  <si>
    <t>M055</t>
  </si>
  <si>
    <t>M060</t>
  </si>
  <si>
    <t>1-2e.pmd</t>
  </si>
  <si>
    <t>1-3e.pmd</t>
  </si>
  <si>
    <t>1-4e.pmd</t>
  </si>
  <si>
    <t>1-5e.pmd</t>
  </si>
  <si>
    <t>1-6a.pmd</t>
  </si>
  <si>
    <t>1-7a.pmd</t>
  </si>
  <si>
    <t>2-1a.pmd</t>
  </si>
  <si>
    <t>2-2e.pmd</t>
  </si>
  <si>
    <t>2-3b.pmd</t>
  </si>
  <si>
    <t>2-4e.pmd</t>
  </si>
  <si>
    <t>2-5b.pmd</t>
  </si>
  <si>
    <t>2-6a.pmd</t>
  </si>
  <si>
    <t>3-1e.pmd</t>
  </si>
  <si>
    <t>3-2e.pmd</t>
  </si>
  <si>
    <t>3-3a.pmd</t>
  </si>
  <si>
    <t>3-4a.pmd</t>
  </si>
  <si>
    <t>3-5e.pmd</t>
  </si>
  <si>
    <t>3-6a.pmd</t>
  </si>
  <si>
    <t>4-1e.pmd</t>
  </si>
  <si>
    <t>4-2b.pmd</t>
  </si>
  <si>
    <t>4-3e.pmd</t>
  </si>
  <si>
    <t>4-4e.pmd</t>
  </si>
  <si>
    <t>4-5e.pmd</t>
  </si>
  <si>
    <t>4-6e.pmd</t>
  </si>
  <si>
    <t>4-7b.pmd</t>
  </si>
  <si>
    <t>4-8a.pmd</t>
  </si>
  <si>
    <t>5-1b.pmd</t>
  </si>
  <si>
    <t>5-2e.pmd</t>
  </si>
  <si>
    <t>5-3f.pmd</t>
  </si>
  <si>
    <t>5-4b.pmd</t>
  </si>
  <si>
    <t>5-5b.pmd</t>
  </si>
  <si>
    <t>5-6a.pmd</t>
  </si>
  <si>
    <t>5-7a.pmd</t>
  </si>
  <si>
    <t>5-8e.pmd</t>
  </si>
  <si>
    <t>5-9b.pmd</t>
  </si>
  <si>
    <t>5-10b.pmd</t>
  </si>
  <si>
    <t>6-1a.pmd</t>
  </si>
  <si>
    <t>6-2b.pmd</t>
  </si>
  <si>
    <t>6-3a.pmd</t>
  </si>
  <si>
    <t>6-4b.pmd</t>
  </si>
  <si>
    <t>6-5b.pmd</t>
  </si>
  <si>
    <t>6-6a.pmd</t>
  </si>
  <si>
    <t>7-1f.pmd</t>
  </si>
  <si>
    <t>7-2e.pmd</t>
  </si>
  <si>
    <t>7-3e.pmd</t>
  </si>
  <si>
    <t>8-1a.pmd</t>
  </si>
  <si>
    <t>8-2a.pmd</t>
  </si>
  <si>
    <t>8-3b.pmd</t>
  </si>
  <si>
    <t>8-4b.pmd</t>
  </si>
  <si>
    <t>8-5e.pmd</t>
  </si>
  <si>
    <t>8-6e.pmd</t>
  </si>
  <si>
    <t>9-1e.pmd</t>
  </si>
  <si>
    <t>9-2a.pmd</t>
  </si>
  <si>
    <t>9-3e.pmd</t>
  </si>
  <si>
    <t>9-4a.pmd</t>
  </si>
  <si>
    <t>9-5b.pmd</t>
  </si>
  <si>
    <t>10-1a.pmd</t>
  </si>
  <si>
    <t>10-2a.pmd</t>
  </si>
  <si>
    <t>10-3e.pmd</t>
  </si>
  <si>
    <t>10-4b.pmd</t>
  </si>
  <si>
    <t>10-5a.pmd</t>
  </si>
  <si>
    <t>10-6a.pmd</t>
  </si>
  <si>
    <t>10-7a.pmd</t>
  </si>
  <si>
    <t>10-8a.pmd</t>
  </si>
  <si>
    <t>10-9e.pmd</t>
  </si>
  <si>
    <t>10-10b.pmd</t>
  </si>
  <si>
    <t>10-11e.pmd</t>
  </si>
  <si>
    <t>11-1b.pmd</t>
  </si>
  <si>
    <t>11-2e.pmd</t>
  </si>
  <si>
    <t>11-3a.pmd</t>
  </si>
  <si>
    <t>11-4f.pmd</t>
  </si>
  <si>
    <t>11-5b.pmd</t>
  </si>
  <si>
    <t>11-6a.pmd</t>
  </si>
  <si>
    <t>11-7e.pmd</t>
  </si>
  <si>
    <t>12-3b.pmd</t>
  </si>
  <si>
    <t>12-4a.pmd</t>
  </si>
  <si>
    <t>12-5b.pmd</t>
  </si>
  <si>
    <t>12-6b.pmd</t>
  </si>
  <si>
    <t>12-7b.pmd</t>
  </si>
  <si>
    <t>14-1b.pmd</t>
  </si>
  <si>
    <t>14-2b.pmd</t>
  </si>
  <si>
    <t>14-3b.pmd</t>
  </si>
  <si>
    <t>14-4a.pmd</t>
  </si>
  <si>
    <t>14-5b.pmd</t>
  </si>
  <si>
    <t>15-1b.pmd</t>
  </si>
  <si>
    <t>15-2e.pmd</t>
  </si>
  <si>
    <t>15-3a.pmd</t>
  </si>
  <si>
    <t>15-4a.pmd</t>
  </si>
  <si>
    <t>15-5a.pmd</t>
  </si>
  <si>
    <t>15-6b.pmd</t>
  </si>
  <si>
    <t>15-7b.pmd</t>
  </si>
  <si>
    <t>16-1b.pmd</t>
  </si>
  <si>
    <t>16-2a.pmd</t>
  </si>
  <si>
    <t>16-3h.pmd</t>
  </si>
  <si>
    <t>16-4b.pmd</t>
  </si>
  <si>
    <t>16-5a.pmd</t>
  </si>
  <si>
    <t>16-6e.pmd</t>
  </si>
  <si>
    <t>16-7a.pmd</t>
  </si>
  <si>
    <t>16-8a.pmd</t>
  </si>
  <si>
    <t>17-1f.pmd</t>
  </si>
  <si>
    <t>17-2i.pmd</t>
  </si>
  <si>
    <t>17-3f.pmd</t>
  </si>
  <si>
    <t>17-4f.pmd</t>
  </si>
  <si>
    <t>17-5b.pmd</t>
  </si>
  <si>
    <t>17-6a.pmd</t>
  </si>
  <si>
    <t>17-7a.pmd</t>
  </si>
  <si>
    <t>17-8b.pmd</t>
  </si>
  <si>
    <t>19-2a.pmd</t>
  </si>
  <si>
    <t>19-3a.pmd</t>
  </si>
  <si>
    <t>19-4a.pmd</t>
  </si>
  <si>
    <t>20-2e.pmd</t>
  </si>
  <si>
    <t>20-3g.pmd</t>
  </si>
  <si>
    <t>20-4e.pmd</t>
  </si>
  <si>
    <t>20-5f.pmd</t>
  </si>
  <si>
    <t>20-6e.pmd</t>
  </si>
  <si>
    <t>20-7e.pmd</t>
  </si>
  <si>
    <t>20-8f.pmd</t>
  </si>
  <si>
    <t>22-1e.pmd</t>
  </si>
  <si>
    <t>22-2b.pmd</t>
  </si>
  <si>
    <t>22-3h.pmd</t>
  </si>
  <si>
    <t>22-4b.pmd</t>
  </si>
  <si>
    <t>22-5a.pmd</t>
  </si>
  <si>
    <t>22-6a.pmd</t>
  </si>
  <si>
    <t>23-1f.pmd</t>
  </si>
  <si>
    <t>23-2a.pmd</t>
  </si>
  <si>
    <t>23-3g.pmd</t>
  </si>
  <si>
    <t>23-4a.pmd</t>
  </si>
  <si>
    <t>23-5e.pmd</t>
  </si>
  <si>
    <t>23-6e.pmd</t>
  </si>
  <si>
    <t>23-7a.pmd</t>
  </si>
  <si>
    <t>24-1b.pmd</t>
  </si>
  <si>
    <t>24-2a.pmd</t>
  </si>
  <si>
    <t>24-3a.pmd</t>
  </si>
  <si>
    <t>24-4e.pmd</t>
  </si>
  <si>
    <t>24-5b.pmd</t>
  </si>
  <si>
    <t>24-6b.pmd</t>
  </si>
  <si>
    <t>24-7e.pmd</t>
  </si>
  <si>
    <t>25-1e.pmd</t>
  </si>
  <si>
    <t>25-2h.pmd</t>
  </si>
  <si>
    <t>25-3a.pmd</t>
  </si>
  <si>
    <t>25-4b.pmd</t>
  </si>
  <si>
    <t>25-5b.pmd</t>
  </si>
  <si>
    <t>25-6h.pmd</t>
  </si>
  <si>
    <t>26-1a.pmd</t>
  </si>
  <si>
    <t>26-2b.pmd</t>
  </si>
  <si>
    <t>26-3b.pmd</t>
  </si>
  <si>
    <t>26-4e.pmd</t>
  </si>
  <si>
    <t>26-5b.pmd</t>
  </si>
  <si>
    <t>26-6e.pmd</t>
  </si>
  <si>
    <t>27-1a.pmd</t>
  </si>
  <si>
    <t>27-2b.pmd</t>
  </si>
  <si>
    <t>27-3a.pmd</t>
  </si>
  <si>
    <t>27-4a.pmd</t>
  </si>
  <si>
    <t>27-5a.pmd</t>
  </si>
  <si>
    <t>27-6e.pmd</t>
  </si>
  <si>
    <t>27-7j.pmd</t>
  </si>
  <si>
    <t>27-8b.pmd</t>
  </si>
  <si>
    <t>28-1a.pmd</t>
  </si>
  <si>
    <t>28-2b.pmd</t>
  </si>
  <si>
    <t>28-3e.pmd</t>
  </si>
  <si>
    <t>28-4e.pmd</t>
  </si>
  <si>
    <t>28-5e.pmd</t>
  </si>
  <si>
    <t>28-6a.pmd</t>
  </si>
  <si>
    <t>28-7e.pmd</t>
  </si>
  <si>
    <t>28-8g.pmd</t>
  </si>
  <si>
    <t>29-1e.pmd</t>
  </si>
  <si>
    <t>29-2e.pmd</t>
  </si>
  <si>
    <t>29-3e.pmd</t>
  </si>
  <si>
    <t>29-4b.pmd</t>
  </si>
  <si>
    <t>29-5e.pmd</t>
  </si>
  <si>
    <t>29-6a.pmd</t>
  </si>
  <si>
    <t>29-7b.pmd</t>
  </si>
  <si>
    <t>29-8b.pmd</t>
  </si>
  <si>
    <t>29-9e.pmd</t>
  </si>
  <si>
    <t>30-1a.pmd</t>
  </si>
  <si>
    <t>30-2a.pmd</t>
  </si>
  <si>
    <t>30-3b.pmd</t>
  </si>
  <si>
    <t>30-4a.pmd</t>
  </si>
  <si>
    <t>30-5b.pmd</t>
  </si>
  <si>
    <t>30-6a.pmd</t>
  </si>
  <si>
    <t>30-7a.pmd</t>
  </si>
  <si>
    <t>31-1a.pmd</t>
  </si>
  <si>
    <t>31-2a.pmd</t>
  </si>
  <si>
    <t>31-3a.pmd</t>
  </si>
  <si>
    <t>31-4e.pmd</t>
  </si>
  <si>
    <t>32-1b.pmd</t>
  </si>
  <si>
    <t>32-2a.pmd</t>
  </si>
  <si>
    <t>32-3a.pmd</t>
  </si>
  <si>
    <t>32-4e.pmd</t>
  </si>
  <si>
    <t>32-5a.pmd</t>
  </si>
  <si>
    <t>32-6g.pmd</t>
  </si>
  <si>
    <t>32-7b.pmd</t>
  </si>
  <si>
    <t>32-8f.pmd</t>
  </si>
  <si>
    <t>33-1f.pmd</t>
  </si>
  <si>
    <t>33-2a.pmd</t>
  </si>
  <si>
    <t>33-3a.pmd</t>
  </si>
  <si>
    <t>33-4a.pmd</t>
  </si>
  <si>
    <t>33-5f.pmd</t>
  </si>
  <si>
    <t>33-6a.pmd</t>
  </si>
  <si>
    <t>33-7g.pmd</t>
  </si>
  <si>
    <t>33-8b.pmd</t>
  </si>
  <si>
    <t>34-1a.pmd</t>
  </si>
  <si>
    <t>34-2b.pmd</t>
  </si>
  <si>
    <t>34-3a.pmd</t>
  </si>
  <si>
    <t>34-4b.pmd</t>
  </si>
  <si>
    <t>34-5e.pmd</t>
  </si>
  <si>
    <t>34-6e.pmd</t>
  </si>
  <si>
    <t>34-7a.pmd</t>
  </si>
  <si>
    <t>34-8b.pmd</t>
  </si>
  <si>
    <t>34-9e.pmd</t>
  </si>
  <si>
    <t>34-10b.pmd</t>
  </si>
  <si>
    <t>Mz</t>
  </si>
  <si>
    <t>Mx</t>
  </si>
  <si>
    <t>My</t>
  </si>
  <si>
    <t>Mag (emu)</t>
  </si>
  <si>
    <t>1p1-1a.rmg</t>
  </si>
  <si>
    <t>AF</t>
  </si>
  <si>
    <t>1p1-2e.rmg</t>
  </si>
  <si>
    <t>1p1-3e.rmg</t>
  </si>
  <si>
    <t>1p1-4e.rmg</t>
  </si>
  <si>
    <t>1p1-5e.rmg</t>
  </si>
  <si>
    <t>1p1-6a.rmg</t>
  </si>
  <si>
    <t>1p1-7a.rmg</t>
  </si>
  <si>
    <t>1p2-1a.rmg</t>
  </si>
  <si>
    <t>1p2-2e.rmg</t>
  </si>
  <si>
    <t>1p2-3b.rmg</t>
  </si>
  <si>
    <t>1p2-4e.rmg</t>
  </si>
  <si>
    <t>1p2-5b.rmg</t>
  </si>
  <si>
    <t>1p2-6a.rmg</t>
  </si>
  <si>
    <t>1p3-1e.rmg</t>
  </si>
  <si>
    <t>1p3-2e.rmg</t>
  </si>
  <si>
    <t>1p3-3a.rmg</t>
  </si>
  <si>
    <t>1p3-4a.rmg</t>
  </si>
  <si>
    <t>1p3-5e.rmg</t>
  </si>
  <si>
    <t>1p3-6a.rmg</t>
  </si>
  <si>
    <t>2p4-1e.rmg</t>
  </si>
  <si>
    <t>2p4-2b.rmg</t>
  </si>
  <si>
    <t>2p4-3e.rmg</t>
  </si>
  <si>
    <t>2p4-4e.rmg</t>
  </si>
  <si>
    <t>2p4-5e.rmg</t>
  </si>
  <si>
    <t>2p4-6e.rmg</t>
  </si>
  <si>
    <t>2p4-7b.rmg</t>
  </si>
  <si>
    <t>2p4-8a.rmg</t>
  </si>
  <si>
    <t>2p5-1b.rmg</t>
  </si>
  <si>
    <t>2p5-2e.rmg</t>
  </si>
  <si>
    <t>2p5-3f.rmg</t>
  </si>
  <si>
    <t>2p5-4b.rmg</t>
  </si>
  <si>
    <t>2p5-5b.rmg</t>
  </si>
  <si>
    <t>2p5-6a.rmg</t>
  </si>
  <si>
    <t>2p5-7a.rmg</t>
  </si>
  <si>
    <t>2p5-8e.rmg</t>
  </si>
  <si>
    <t>2p5-9b.rmg</t>
  </si>
  <si>
    <t>2p5-10b.rmg</t>
  </si>
  <si>
    <t>2p6-1a.rmg</t>
  </si>
  <si>
    <t>2p6-2b.rmg</t>
  </si>
  <si>
    <t>2p6-3a.rmg</t>
  </si>
  <si>
    <t>2p6-4b.rmg</t>
  </si>
  <si>
    <t>2p6-5b.rmg</t>
  </si>
  <si>
    <t>2p6-6a.rmg</t>
  </si>
  <si>
    <t>2p7-1f.rmg</t>
  </si>
  <si>
    <t>2p7-2e.rmg</t>
  </si>
  <si>
    <t>2p7-3e.rmg</t>
  </si>
  <si>
    <t>2p8-1a.rmg</t>
  </si>
  <si>
    <t>2p8-2a.rmg</t>
  </si>
  <si>
    <t>2p8-3b.rmg</t>
  </si>
  <si>
    <t>2p8-4b.rmg</t>
  </si>
  <si>
    <t>2p8-5e.rmg</t>
  </si>
  <si>
    <t>2p8-6e.rmg</t>
  </si>
  <si>
    <t>2p9-1e.rmg</t>
  </si>
  <si>
    <t>2p9-2a.rmg</t>
  </si>
  <si>
    <t>2p9-3e.rmg</t>
  </si>
  <si>
    <t>2p9-4a.rmg</t>
  </si>
  <si>
    <t>2p9-5b.rmg</t>
  </si>
  <si>
    <t>2p10-1a.rmg</t>
  </si>
  <si>
    <t>2p10-2a.rmg</t>
  </si>
  <si>
    <t>2p10-3e.rmg</t>
  </si>
  <si>
    <t>2p10-4b.rmg</t>
  </si>
  <si>
    <t>2p10-5a.rmg</t>
  </si>
  <si>
    <t>2p10-6a.rmg</t>
  </si>
  <si>
    <t>2p10-7a.rmg</t>
  </si>
  <si>
    <t>2p10-8a.rmg</t>
  </si>
  <si>
    <t>2p10-9e.rmg</t>
  </si>
  <si>
    <t>2p10-10b.rmg</t>
  </si>
  <si>
    <t>2p10-11e.rmg</t>
  </si>
  <si>
    <t>2p11-1b.rmg</t>
  </si>
  <si>
    <t>2p11-2e.rmg</t>
  </si>
  <si>
    <t>2p11-3a.rmg</t>
  </si>
  <si>
    <t>2p11-4f.rmg</t>
  </si>
  <si>
    <t>2p11-5b.rmg</t>
  </si>
  <si>
    <t>2p11-6a.rmg</t>
  </si>
  <si>
    <t>2p11-7e.rmg</t>
  </si>
  <si>
    <t>2p12-3b.rmg</t>
  </si>
  <si>
    <t>2p12-4a.rmg</t>
  </si>
  <si>
    <t>2p12-5b.rmg</t>
  </si>
  <si>
    <t>2p12-6b.rmg</t>
  </si>
  <si>
    <t>2p12-7b.rmg</t>
  </si>
  <si>
    <t>2p14-1b.rmg</t>
  </si>
  <si>
    <t>2p14-2b.rmg</t>
  </si>
  <si>
    <t>2p14-3b.rmg</t>
  </si>
  <si>
    <t>2p14-4a.rmg</t>
  </si>
  <si>
    <t>2p14-5b.rmg</t>
  </si>
  <si>
    <t>2p15-1b.rmg</t>
  </si>
  <si>
    <t>2p15-2e.rmg</t>
  </si>
  <si>
    <t>2p15-3a.rmg</t>
  </si>
  <si>
    <t>2p15-4a.rmg</t>
  </si>
  <si>
    <t>2p15-5a.rmg</t>
  </si>
  <si>
    <t>2p15-6b.rmg</t>
  </si>
  <si>
    <t>2p15-7b.rmg</t>
  </si>
  <si>
    <t>2p16-1b.rmg</t>
  </si>
  <si>
    <t>2p16-2a.rmg</t>
  </si>
  <si>
    <t>2p16-3h.rmg</t>
  </si>
  <si>
    <t>2p16-4b.rmg</t>
  </si>
  <si>
    <t>2p16-5a.rmg</t>
  </si>
  <si>
    <t>2p16-6e.rmg</t>
  </si>
  <si>
    <t>2p16-7a.rmg</t>
  </si>
  <si>
    <t>2p16-8a.rmg</t>
  </si>
  <si>
    <t>2p17-1f.rmg</t>
  </si>
  <si>
    <t>2p17-2i.rmg</t>
  </si>
  <si>
    <t>2p17-3f.rmg</t>
  </si>
  <si>
    <t>2p17-4f.rmg</t>
  </si>
  <si>
    <t>2p17-5b.rmg</t>
  </si>
  <si>
    <t>2p17-6a.rmg</t>
  </si>
  <si>
    <t>2p17-7a.rmg</t>
  </si>
  <si>
    <t>2p17-8b.rmg</t>
  </si>
  <si>
    <t>2p19-2a.rmg</t>
  </si>
  <si>
    <t>2p19-3a.rmg</t>
  </si>
  <si>
    <t>2p19-4a.rmg</t>
  </si>
  <si>
    <t>2p20-2e.rmg</t>
  </si>
  <si>
    <t>2p20-3g.rmg</t>
  </si>
  <si>
    <t>2p20-4e.rmg</t>
  </si>
  <si>
    <t>2p20-5f.rmg</t>
  </si>
  <si>
    <t>2p20-6e.rmg</t>
  </si>
  <si>
    <t>2p20-7e.rmg</t>
  </si>
  <si>
    <t>2p20-8f.rmg</t>
  </si>
  <si>
    <t>3p22-1e.rmg</t>
  </si>
  <si>
    <t>3p22-2b.rmg</t>
  </si>
  <si>
    <t>3p22-3h.rmg</t>
  </si>
  <si>
    <t>3p22-4b.rmg</t>
  </si>
  <si>
    <t>3p22-5a.rmg</t>
  </si>
  <si>
    <t>3p22-6a.rmg</t>
  </si>
  <si>
    <t>3p23-1f.rmg</t>
  </si>
  <si>
    <t>3p23-2a.rmg</t>
  </si>
  <si>
    <t>3p23-3g.rmg</t>
  </si>
  <si>
    <t>3p23-4a.rmg</t>
  </si>
  <si>
    <t>3p23-5e.rmg</t>
  </si>
  <si>
    <t>3p23-6e.rmg</t>
  </si>
  <si>
    <t>3p23-7a.rmg</t>
  </si>
  <si>
    <t>3p24-1b.rmg</t>
  </si>
  <si>
    <t>3p24-2a.rmg</t>
  </si>
  <si>
    <t>3p24-3a.rmg</t>
  </si>
  <si>
    <t>3p24-4e.rmg</t>
  </si>
  <si>
    <t>3p24-5b.rmg</t>
  </si>
  <si>
    <t>3p24-6b.rmg</t>
  </si>
  <si>
    <t>3p24-7e.rmg</t>
  </si>
  <si>
    <t>3p25-1e.rmg</t>
  </si>
  <si>
    <t>3p25-2h.rmg</t>
  </si>
  <si>
    <t>3p25-3a.rmg</t>
  </si>
  <si>
    <t>3p25-4b.rmg</t>
  </si>
  <si>
    <t>3p25-5b.rmg</t>
  </si>
  <si>
    <t>3p25-6h.rmg</t>
  </si>
  <si>
    <t>3p26-1a.rmg</t>
  </si>
  <si>
    <t>3p26-2b.rmg</t>
  </si>
  <si>
    <t>3p26-3b.rmg</t>
  </si>
  <si>
    <t>3p26-4e.rmg</t>
  </si>
  <si>
    <t>3p26-5b.rmg</t>
  </si>
  <si>
    <t>3p26-6e.rmg</t>
  </si>
  <si>
    <t>3p27-1a.rmg</t>
  </si>
  <si>
    <t>3p27-2b.rmg</t>
  </si>
  <si>
    <t>3p27-3a.rmg</t>
  </si>
  <si>
    <t>3p27-4a.rmg</t>
  </si>
  <si>
    <t>3p27-5a.rmg</t>
  </si>
  <si>
    <t>3p27-6e.rmg</t>
  </si>
  <si>
    <t>3p27-7j.rmg</t>
  </si>
  <si>
    <t>3p27-8b.rmg</t>
  </si>
  <si>
    <t>3p28-1a.rmg</t>
  </si>
  <si>
    <t>3p28-2b.rmg</t>
  </si>
  <si>
    <t>3p28-3e.rmg</t>
  </si>
  <si>
    <t>3p28-4e.rmg</t>
  </si>
  <si>
    <t>3p28-5e.rmg</t>
  </si>
  <si>
    <t>3p28-6a.rmg</t>
  </si>
  <si>
    <t>3p28-7e.rmg</t>
  </si>
  <si>
    <t>3p28-8g.rmg</t>
  </si>
  <si>
    <t>3p29-1e.rmg</t>
  </si>
  <si>
    <t>3p29-2e.rmg</t>
  </si>
  <si>
    <t>3p29-3e.rmg</t>
  </si>
  <si>
    <t>3p29-4b.rmg</t>
  </si>
  <si>
    <t>3p29-5e.rmg</t>
  </si>
  <si>
    <t>3p29-6a.rmg</t>
  </si>
  <si>
    <t>3p29-7b.rmg</t>
  </si>
  <si>
    <t>3p29-8b.rmg</t>
  </si>
  <si>
    <t>3p29-9e.rmg</t>
  </si>
  <si>
    <t>3p30-1a.rmg</t>
  </si>
  <si>
    <t>3p30-2a.rmg</t>
  </si>
  <si>
    <t>3p30-3b.rmg</t>
  </si>
  <si>
    <t>3p30-4a.rmg</t>
  </si>
  <si>
    <t>3p30-5b.rmg</t>
  </si>
  <si>
    <t>3p30-6a.rmg</t>
  </si>
  <si>
    <t>3p30-7a.rmg</t>
  </si>
  <si>
    <t>3p31-1a.rmg</t>
  </si>
  <si>
    <t>3p31-2a.rmg</t>
  </si>
  <si>
    <t>3p31-3a.rmg</t>
  </si>
  <si>
    <t>3p31-4e.rmg</t>
  </si>
  <si>
    <t>3p32-1b.rmg</t>
  </si>
  <si>
    <t>3p32-2a.rmg</t>
  </si>
  <si>
    <t>3p32-3a.rmg</t>
  </si>
  <si>
    <t>3p32-4e.rmg</t>
  </si>
  <si>
    <t>3p32-5a.rmg</t>
  </si>
  <si>
    <t>3p32-6g.rmg</t>
  </si>
  <si>
    <t>3p32-7b.rmg</t>
  </si>
  <si>
    <t>3p32-8f.rmg</t>
  </si>
  <si>
    <t>3p33-1f.rmg</t>
  </si>
  <si>
    <t>3p33-2a.rmg</t>
  </si>
  <si>
    <t>3p33-3a.rmg</t>
  </si>
  <si>
    <t>3p33-4a.rmg</t>
  </si>
  <si>
    <t>3p33-5f.rmg</t>
  </si>
  <si>
    <t>3p33-6a.rmg</t>
  </si>
  <si>
    <t>3p33-7g.rmg</t>
  </si>
  <si>
    <t>3p33-8b.rmg</t>
  </si>
  <si>
    <t>3p34-1a.rmg</t>
  </si>
  <si>
    <t>3p34-2b.rmg</t>
  </si>
  <si>
    <t>3p34-3a.rmg</t>
  </si>
  <si>
    <t>3p34-4b.rmg</t>
  </si>
  <si>
    <t>3p34-5e.rmg</t>
  </si>
  <si>
    <t>3p34-6e.rmg</t>
  </si>
  <si>
    <t>3p34-7a.rmg</t>
  </si>
  <si>
    <t>3p34-8b.rmg</t>
  </si>
  <si>
    <t>3p34-9e.rmg</t>
  </si>
  <si>
    <t>3p34-10b.rmg</t>
  </si>
  <si>
    <t>delta ARM(35-55)</t>
  </si>
  <si>
    <t>delta ARM(35-60)</t>
  </si>
  <si>
    <t>NRM/ARM(35-55)</t>
  </si>
  <si>
    <t>NRM/ARM(35-60)</t>
  </si>
  <si>
    <t>Масса</t>
  </si>
  <si>
    <t>kappa</t>
  </si>
  <si>
    <t>Depth</t>
  </si>
  <si>
    <t>NRM35/kappa</t>
  </si>
  <si>
    <t>Коэффициент корреляции</t>
  </si>
  <si>
    <t>NRM</t>
  </si>
  <si>
    <t>M080</t>
  </si>
  <si>
    <t>delta NRM(35-80)</t>
  </si>
  <si>
    <t>ARM</t>
  </si>
  <si>
    <t>delta ARM(35-80)</t>
  </si>
  <si>
    <t>1 emu = 10^-3 Am2</t>
  </si>
  <si>
    <t>NRM/ARM(35-80)</t>
  </si>
  <si>
    <t>157c</t>
  </si>
  <si>
    <t>143c</t>
  </si>
  <si>
    <t>144c</t>
  </si>
  <si>
    <t>145c</t>
  </si>
  <si>
    <t>146b</t>
  </si>
  <si>
    <t>NRM 30 mT/k</t>
  </si>
  <si>
    <t>Корелляция между NRM(30)/k и NRM/ARM(35-60)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</si>
</sst>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1" fontId="0" fillId="0" borderId="0" xfId="0" applyNumberFormat="1"/>
    <xf numFmtId="0" fontId="0" fillId="0" borderId="0" xfId="0" applyFill="1"/>
    <xf numFmtId="2" fontId="2" fillId="0" borderId="0" xfId="1" applyNumberFormat="1" applyFont="1" applyBorder="1" applyAlignment="1">
      <alignment horizontal="center"/>
    </xf>
    <xf numFmtId="2" fontId="2" fillId="0" borderId="0" xfId="1" applyNumberFormat="1" applyFont="1" applyAlignment="1">
      <alignment horizontal="center"/>
    </xf>
    <xf numFmtId="0" fontId="2" fillId="0" borderId="0" xfId="0" applyFont="1"/>
    <xf numFmtId="2" fontId="3" fillId="0" borderId="0" xfId="1" applyNumberFormat="1" applyFont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2" fontId="2" fillId="0" borderId="0" xfId="1" applyNumberFormat="1" applyFont="1" applyFill="1" applyAlignment="1">
      <alignment horizontal="center"/>
    </xf>
    <xf numFmtId="2" fontId="3" fillId="0" borderId="0" xfId="1" applyNumberFormat="1" applyFont="1" applyFill="1" applyAlignment="1">
      <alignment horizont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0" borderId="0" xfId="0" applyFont="1" applyAlignment="1">
      <alignment horizontal="center"/>
    </xf>
    <xf numFmtId="0" fontId="6" fillId="0" borderId="0" xfId="0" applyFont="1"/>
    <xf numFmtId="11" fontId="0" fillId="0" borderId="0" xfId="0" applyNumberFormat="1" applyFill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NRM/ARM(35-55)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Лист1!$BJ$6:$BJ$218</c:f>
              <c:numCache>
                <c:formatCode>General</c:formatCode>
                <c:ptCount val="213"/>
                <c:pt idx="0">
                  <c:v>0.10433565145626714</c:v>
                </c:pt>
                <c:pt idx="1">
                  <c:v>8.0678126459948082E-2</c:v>
                </c:pt>
                <c:pt idx="2">
                  <c:v>5.411489682675244E-2</c:v>
                </c:pt>
                <c:pt idx="3">
                  <c:v>4.7650053336787901E-2</c:v>
                </c:pt>
                <c:pt idx="4">
                  <c:v>0.10662541926092291</c:v>
                </c:pt>
                <c:pt idx="5">
                  <c:v>0.10841103718821592</c:v>
                </c:pt>
                <c:pt idx="6">
                  <c:v>8.5398122512217817E-2</c:v>
                </c:pt>
                <c:pt idx="7">
                  <c:v>8.2437114063240197E-2</c:v>
                </c:pt>
                <c:pt idx="8">
                  <c:v>9.4437497905833473E-2</c:v>
                </c:pt>
                <c:pt idx="9">
                  <c:v>8.4089223393882057E-2</c:v>
                </c:pt>
                <c:pt idx="10">
                  <c:v>8.3513645317712784E-2</c:v>
                </c:pt>
                <c:pt idx="11">
                  <c:v>5.5924238932565914E-2</c:v>
                </c:pt>
                <c:pt idx="12">
                  <c:v>1.7810677734498855E-2</c:v>
                </c:pt>
                <c:pt idx="13">
                  <c:v>1.7215699540742379E-2</c:v>
                </c:pt>
                <c:pt idx="14">
                  <c:v>6.1487948678498924E-2</c:v>
                </c:pt>
                <c:pt idx="15">
                  <c:v>2.3444155392216823E-2</c:v>
                </c:pt>
                <c:pt idx="16">
                  <c:v>6.5345238749700163E-2</c:v>
                </c:pt>
                <c:pt idx="17">
                  <c:v>7.0656328575383273E-2</c:v>
                </c:pt>
                <c:pt idx="18">
                  <c:v>7.3995117632336238E-2</c:v>
                </c:pt>
                <c:pt idx="20">
                  <c:v>5.009648433830368E-2</c:v>
                </c:pt>
                <c:pt idx="21">
                  <c:v>3.4759676523711328E-2</c:v>
                </c:pt>
                <c:pt idx="22">
                  <c:v>1.9826168480497786E-2</c:v>
                </c:pt>
                <c:pt idx="23">
                  <c:v>4.4461577662094083E-2</c:v>
                </c:pt>
                <c:pt idx="24">
                  <c:v>2.945856950886552E-2</c:v>
                </c:pt>
                <c:pt idx="25">
                  <c:v>4.3756979929243239E-2</c:v>
                </c:pt>
                <c:pt idx="26">
                  <c:v>3.833249768881998E-2</c:v>
                </c:pt>
                <c:pt idx="27">
                  <c:v>2.2078663270419768E-2</c:v>
                </c:pt>
                <c:pt idx="28">
                  <c:v>1.5961036551670114E-2</c:v>
                </c:pt>
                <c:pt idx="29">
                  <c:v>2.7516036065822605E-2</c:v>
                </c:pt>
                <c:pt idx="30">
                  <c:v>1.4454684694126698E-2</c:v>
                </c:pt>
                <c:pt idx="31">
                  <c:v>-3.6434583488492434E-3</c:v>
                </c:pt>
                <c:pt idx="32">
                  <c:v>1.5785709708711973E-2</c:v>
                </c:pt>
                <c:pt idx="33">
                  <c:v>1.469397700815181E-2</c:v>
                </c:pt>
                <c:pt idx="34">
                  <c:v>7.7381526051637211E-3</c:v>
                </c:pt>
                <c:pt idx="35">
                  <c:v>1.7307046500493539E-2</c:v>
                </c:pt>
                <c:pt idx="36">
                  <c:v>1.7608219667173311E-2</c:v>
                </c:pt>
                <c:pt idx="37">
                  <c:v>3.4513103143937213E-2</c:v>
                </c:pt>
                <c:pt idx="38">
                  <c:v>-3.4961102262434977E-3</c:v>
                </c:pt>
                <c:pt idx="39">
                  <c:v>2.5932617674202785E-2</c:v>
                </c:pt>
                <c:pt idx="40">
                  <c:v>2.0912586554709876E-2</c:v>
                </c:pt>
                <c:pt idx="41">
                  <c:v>3.4691249448400185E-2</c:v>
                </c:pt>
                <c:pt idx="42">
                  <c:v>-1.4532126806728121E-2</c:v>
                </c:pt>
                <c:pt idx="43">
                  <c:v>2.4127594823195188E-2</c:v>
                </c:pt>
                <c:pt idx="44">
                  <c:v>4.6517983175843998E-2</c:v>
                </c:pt>
                <c:pt idx="45">
                  <c:v>2.4914548266020398E-2</c:v>
                </c:pt>
                <c:pt idx="46">
                  <c:v>-4.85397485443664E-3</c:v>
                </c:pt>
                <c:pt idx="47">
                  <c:v>3.8308436534843768E-2</c:v>
                </c:pt>
                <c:pt idx="48">
                  <c:v>1.7089467689337237E-2</c:v>
                </c:pt>
                <c:pt idx="49">
                  <c:v>2.3697720975975788E-2</c:v>
                </c:pt>
                <c:pt idx="50">
                  <c:v>1.3681578783888673E-2</c:v>
                </c:pt>
                <c:pt idx="51">
                  <c:v>4.6414292401154904E-2</c:v>
                </c:pt>
                <c:pt idx="52">
                  <c:v>4.2121104034353395E-2</c:v>
                </c:pt>
                <c:pt idx="53">
                  <c:v>2.0243600494006319E-2</c:v>
                </c:pt>
                <c:pt idx="54">
                  <c:v>3.6538768180672303E-2</c:v>
                </c:pt>
                <c:pt idx="55">
                  <c:v>8.7627040292669225E-2</c:v>
                </c:pt>
                <c:pt idx="56">
                  <c:v>3.3607913035032008E-2</c:v>
                </c:pt>
                <c:pt idx="57">
                  <c:v>5.3473682836729701E-2</c:v>
                </c:pt>
                <c:pt idx="58">
                  <c:v>1.7406667911743827E-2</c:v>
                </c:pt>
                <c:pt idx="59">
                  <c:v>2.7315495711123041E-2</c:v>
                </c:pt>
                <c:pt idx="60">
                  <c:v>4.5679097899172681E-3</c:v>
                </c:pt>
                <c:pt idx="61">
                  <c:v>3.2850526606888808E-2</c:v>
                </c:pt>
                <c:pt idx="62">
                  <c:v>2.0344749631474118E-2</c:v>
                </c:pt>
                <c:pt idx="63">
                  <c:v>1.5942080826377582E-2</c:v>
                </c:pt>
                <c:pt idx="64">
                  <c:v>2.9129157211473269E-2</c:v>
                </c:pt>
                <c:pt idx="65">
                  <c:v>1.8086844863974015E-2</c:v>
                </c:pt>
                <c:pt idx="66">
                  <c:v>4.5844447645614524E-2</c:v>
                </c:pt>
                <c:pt idx="67">
                  <c:v>4.6260124616292239E-2</c:v>
                </c:pt>
                <c:pt idx="68">
                  <c:v>-1.9427548783811496E-3</c:v>
                </c:pt>
                <c:pt idx="69">
                  <c:v>4.0841419062240369E-2</c:v>
                </c:pt>
                <c:pt idx="70">
                  <c:v>5.3067436369054651E-2</c:v>
                </c:pt>
                <c:pt idx="71">
                  <c:v>1.2078943100076577E-2</c:v>
                </c:pt>
                <c:pt idx="72">
                  <c:v>6.0101026786662758E-2</c:v>
                </c:pt>
                <c:pt idx="73">
                  <c:v>2.617663561821643E-2</c:v>
                </c:pt>
                <c:pt idx="74">
                  <c:v>3.9996127810782559E-2</c:v>
                </c:pt>
                <c:pt idx="75">
                  <c:v>3.8459186307533838E-2</c:v>
                </c:pt>
                <c:pt idx="76">
                  <c:v>3.3339093365477294E-2</c:v>
                </c:pt>
                <c:pt idx="77">
                  <c:v>3.4814922275028276E-2</c:v>
                </c:pt>
                <c:pt idx="78">
                  <c:v>4.248595801875818E-2</c:v>
                </c:pt>
                <c:pt idx="79">
                  <c:v>3.9604129973561976E-2</c:v>
                </c:pt>
                <c:pt idx="80">
                  <c:v>-1.5816402768667408E-2</c:v>
                </c:pt>
                <c:pt idx="81">
                  <c:v>1.6782035920901685E-2</c:v>
                </c:pt>
                <c:pt idx="82">
                  <c:v>-2.1494435238225747E-3</c:v>
                </c:pt>
                <c:pt idx="83">
                  <c:v>4.5258584362659567E-2</c:v>
                </c:pt>
                <c:pt idx="84">
                  <c:v>5.898725517479398E-2</c:v>
                </c:pt>
                <c:pt idx="85">
                  <c:v>7.4769709041254351E-2</c:v>
                </c:pt>
                <c:pt idx="86">
                  <c:v>2.1375023096928618E-2</c:v>
                </c:pt>
                <c:pt idx="87">
                  <c:v>3.6488649351836648E-2</c:v>
                </c:pt>
                <c:pt idx="88">
                  <c:v>3.7291671497016163E-2</c:v>
                </c:pt>
                <c:pt idx="89">
                  <c:v>4.0080252194964652E-2</c:v>
                </c:pt>
                <c:pt idx="90">
                  <c:v>3.6351170786242809E-2</c:v>
                </c:pt>
                <c:pt idx="91">
                  <c:v>6.1210183673723002E-2</c:v>
                </c:pt>
                <c:pt idx="92">
                  <c:v>1.5753671547392857E-2</c:v>
                </c:pt>
                <c:pt idx="93">
                  <c:v>2.4828368391447891E-2</c:v>
                </c:pt>
                <c:pt idx="94">
                  <c:v>4.143038372103576E-2</c:v>
                </c:pt>
                <c:pt idx="95">
                  <c:v>3.4129917182860035E-2</c:v>
                </c:pt>
                <c:pt idx="96">
                  <c:v>1.851464614295837E-2</c:v>
                </c:pt>
                <c:pt idx="97">
                  <c:v>-3.5880410132734712E-4</c:v>
                </c:pt>
                <c:pt idx="98">
                  <c:v>3.0282049015710879E-2</c:v>
                </c:pt>
                <c:pt idx="99">
                  <c:v>5.6157693154233183E-2</c:v>
                </c:pt>
                <c:pt idx="100">
                  <c:v>5.5667602367477226E-2</c:v>
                </c:pt>
                <c:pt idx="101">
                  <c:v>2.7401217477230889E-2</c:v>
                </c:pt>
                <c:pt idx="102">
                  <c:v>3.1243430133588102E-2</c:v>
                </c:pt>
                <c:pt idx="103">
                  <c:v>1.7718958622495777E-2</c:v>
                </c:pt>
                <c:pt idx="104">
                  <c:v>-8.0400788931948332E-3</c:v>
                </c:pt>
                <c:pt idx="105">
                  <c:v>1.9219244671842314E-2</c:v>
                </c:pt>
                <c:pt idx="106">
                  <c:v>5.7514319249746711E-2</c:v>
                </c:pt>
                <c:pt idx="107">
                  <c:v>2.1555058901325412E-2</c:v>
                </c:pt>
                <c:pt idx="108">
                  <c:v>0.1005127439995389</c:v>
                </c:pt>
                <c:pt idx="109">
                  <c:v>0.11115610213247561</c:v>
                </c:pt>
                <c:pt idx="110">
                  <c:v>0.12001281625918923</c:v>
                </c:pt>
                <c:pt idx="111">
                  <c:v>9.810912388302126E-2</c:v>
                </c:pt>
                <c:pt idx="112">
                  <c:v>0.15638460192338477</c:v>
                </c:pt>
                <c:pt idx="113">
                  <c:v>5.6675543342029608E-2</c:v>
                </c:pt>
                <c:pt idx="114">
                  <c:v>-6.0376246063151534E-4</c:v>
                </c:pt>
                <c:pt idx="115">
                  <c:v>3.1587457532663531E-2</c:v>
                </c:pt>
                <c:pt idx="116">
                  <c:v>6.9184093792210605E-2</c:v>
                </c:pt>
                <c:pt idx="117">
                  <c:v>3.7439760186484157E-2</c:v>
                </c:pt>
                <c:pt idx="118">
                  <c:v>6.6249952688453892E-2</c:v>
                </c:pt>
                <c:pt idx="119">
                  <c:v>2.7894896033686837E-2</c:v>
                </c:pt>
                <c:pt idx="120">
                  <c:v>1.1664769588160456E-2</c:v>
                </c:pt>
                <c:pt idx="121">
                  <c:v>5.6628399717185036E-2</c:v>
                </c:pt>
                <c:pt idx="122">
                  <c:v>5.6138254373360293E-2</c:v>
                </c:pt>
                <c:pt idx="123">
                  <c:v>4.4107651049807954E-2</c:v>
                </c:pt>
                <c:pt idx="124">
                  <c:v>6.1190675072845632E-2</c:v>
                </c:pt>
                <c:pt idx="125">
                  <c:v>4.3675315035183043E-2</c:v>
                </c:pt>
                <c:pt idx="126">
                  <c:v>3.697259228645574E-2</c:v>
                </c:pt>
                <c:pt idx="127">
                  <c:v>4.9210123293082386E-2</c:v>
                </c:pt>
                <c:pt idx="128">
                  <c:v>5.6037126524813852E-2</c:v>
                </c:pt>
                <c:pt idx="129">
                  <c:v>8.2682103814160537E-2</c:v>
                </c:pt>
                <c:pt idx="130">
                  <c:v>4.6833136130305576E-2</c:v>
                </c:pt>
                <c:pt idx="131">
                  <c:v>1.2270773322503068E-2</c:v>
                </c:pt>
                <c:pt idx="132">
                  <c:v>4.8054058532297828E-2</c:v>
                </c:pt>
                <c:pt idx="133">
                  <c:v>9.4350646852978351E-2</c:v>
                </c:pt>
                <c:pt idx="134">
                  <c:v>9.1757175333204058E-2</c:v>
                </c:pt>
                <c:pt idx="135">
                  <c:v>4.9022319160473775E-2</c:v>
                </c:pt>
                <c:pt idx="136">
                  <c:v>6.1730592627538383E-2</c:v>
                </c:pt>
                <c:pt idx="137">
                  <c:v>4.3005606763367434E-2</c:v>
                </c:pt>
                <c:pt idx="138">
                  <c:v>4.9364209728814508E-2</c:v>
                </c:pt>
                <c:pt idx="139">
                  <c:v>7.6696706686185431E-2</c:v>
                </c:pt>
                <c:pt idx="140">
                  <c:v>4.8903510683831856E-2</c:v>
                </c:pt>
                <c:pt idx="141">
                  <c:v>9.5573184317904028E-2</c:v>
                </c:pt>
                <c:pt idx="142">
                  <c:v>5.7526674980769445E-2</c:v>
                </c:pt>
                <c:pt idx="143">
                  <c:v>9.6123975562400266E-2</c:v>
                </c:pt>
                <c:pt idx="144">
                  <c:v>3.9439659981947123E-2</c:v>
                </c:pt>
                <c:pt idx="145">
                  <c:v>5.9316039427159198E-2</c:v>
                </c:pt>
                <c:pt idx="146">
                  <c:v>9.0205575592494147E-2</c:v>
                </c:pt>
                <c:pt idx="148">
                  <c:v>9.9554062883708175E-2</c:v>
                </c:pt>
                <c:pt idx="149">
                  <c:v>0.10396704575551932</c:v>
                </c:pt>
                <c:pt idx="150">
                  <c:v>5.5796496526349035E-2</c:v>
                </c:pt>
                <c:pt idx="151">
                  <c:v>5.7468482425454645E-2</c:v>
                </c:pt>
                <c:pt idx="152">
                  <c:v>8.7497631002350404E-2</c:v>
                </c:pt>
                <c:pt idx="153">
                  <c:v>6.0770890973993387E-2</c:v>
                </c:pt>
                <c:pt idx="154">
                  <c:v>0.11686001590272774</c:v>
                </c:pt>
                <c:pt idx="155">
                  <c:v>9.6673363579661109E-2</c:v>
                </c:pt>
                <c:pt idx="156">
                  <c:v>8.4344939020851037E-2</c:v>
                </c:pt>
                <c:pt idx="157">
                  <c:v>6.3760853872883702E-2</c:v>
                </c:pt>
                <c:pt idx="158">
                  <c:v>0.14261645592228228</c:v>
                </c:pt>
                <c:pt idx="159">
                  <c:v>8.9120063423486079E-2</c:v>
                </c:pt>
                <c:pt idx="160">
                  <c:v>7.1348006565593661E-2</c:v>
                </c:pt>
                <c:pt idx="161">
                  <c:v>8.4896705396045005E-2</c:v>
                </c:pt>
                <c:pt idx="162">
                  <c:v>8.4465744302472542E-2</c:v>
                </c:pt>
                <c:pt idx="163">
                  <c:v>9.7998650634376322E-2</c:v>
                </c:pt>
                <c:pt idx="164">
                  <c:v>5.7279656239577155E-2</c:v>
                </c:pt>
                <c:pt idx="165">
                  <c:v>7.4080911294699556E-2</c:v>
                </c:pt>
                <c:pt idx="166">
                  <c:v>9.4541784336660481E-2</c:v>
                </c:pt>
                <c:pt idx="167">
                  <c:v>0.12521938770639532</c:v>
                </c:pt>
                <c:pt idx="168">
                  <c:v>9.0333434800399931E-2</c:v>
                </c:pt>
                <c:pt idx="169">
                  <c:v>9.8080703999706587E-2</c:v>
                </c:pt>
                <c:pt idx="170">
                  <c:v>9.4441167343787699E-2</c:v>
                </c:pt>
                <c:pt idx="171">
                  <c:v>8.8297502504904174E-2</c:v>
                </c:pt>
                <c:pt idx="172">
                  <c:v>0.10384334087707915</c:v>
                </c:pt>
                <c:pt idx="173">
                  <c:v>0.11073568564001748</c:v>
                </c:pt>
                <c:pt idx="174">
                  <c:v>0.10169411171466644</c:v>
                </c:pt>
                <c:pt idx="175">
                  <c:v>0.10115269119513756</c:v>
                </c:pt>
                <c:pt idx="176">
                  <c:v>0.13405763193942899</c:v>
                </c:pt>
                <c:pt idx="177">
                  <c:v>0.13487321437353064</c:v>
                </c:pt>
                <c:pt idx="178">
                  <c:v>0.1056225906806421</c:v>
                </c:pt>
                <c:pt idx="179">
                  <c:v>9.6504340650738429E-2</c:v>
                </c:pt>
                <c:pt idx="180">
                  <c:v>6.8110174288209632E-2</c:v>
                </c:pt>
                <c:pt idx="181">
                  <c:v>9.3744380538045874E-2</c:v>
                </c:pt>
                <c:pt idx="182">
                  <c:v>0.14912982748603321</c:v>
                </c:pt>
                <c:pt idx="183">
                  <c:v>6.4405887256570621E-2</c:v>
                </c:pt>
                <c:pt idx="184">
                  <c:v>6.1440638176132802E-2</c:v>
                </c:pt>
                <c:pt idx="185">
                  <c:v>7.3460597595721572E-2</c:v>
                </c:pt>
                <c:pt idx="186">
                  <c:v>5.6336262751788713E-2</c:v>
                </c:pt>
                <c:pt idx="187">
                  <c:v>5.4123595422215065E-2</c:v>
                </c:pt>
                <c:pt idx="188">
                  <c:v>7.5876765768077337E-2</c:v>
                </c:pt>
                <c:pt idx="189">
                  <c:v>5.4954592745853778E-2</c:v>
                </c:pt>
                <c:pt idx="190">
                  <c:v>6.2587063631287576E-2</c:v>
                </c:pt>
                <c:pt idx="191">
                  <c:v>5.9269856847632356E-2</c:v>
                </c:pt>
                <c:pt idx="192">
                  <c:v>8.0223146959080269E-2</c:v>
                </c:pt>
                <c:pt idx="193">
                  <c:v>3.3197786622718585E-2</c:v>
                </c:pt>
                <c:pt idx="194">
                  <c:v>6.1153080884196472E-2</c:v>
                </c:pt>
                <c:pt idx="195">
                  <c:v>7.9208355453546306E-2</c:v>
                </c:pt>
                <c:pt idx="196">
                  <c:v>5.7090048362617586E-2</c:v>
                </c:pt>
                <c:pt idx="197">
                  <c:v>3.5701305589800635E-2</c:v>
                </c:pt>
                <c:pt idx="198">
                  <c:v>4.4131447995958126E-2</c:v>
                </c:pt>
                <c:pt idx="199">
                  <c:v>4.406459829515029E-2</c:v>
                </c:pt>
                <c:pt idx="200">
                  <c:v>5.3021268729806927E-2</c:v>
                </c:pt>
                <c:pt idx="201">
                  <c:v>5.2700367637543787E-2</c:v>
                </c:pt>
                <c:pt idx="202">
                  <c:v>3.4883492382808919E-2</c:v>
                </c:pt>
                <c:pt idx="203">
                  <c:v>2.7323026728110378E-2</c:v>
                </c:pt>
                <c:pt idx="204">
                  <c:v>3.3706285114398105E-2</c:v>
                </c:pt>
                <c:pt idx="205">
                  <c:v>3.3287761731821346E-2</c:v>
                </c:pt>
                <c:pt idx="206">
                  <c:v>5.2841131697088164E-2</c:v>
                </c:pt>
                <c:pt idx="207">
                  <c:v>4.5488678944928251E-2</c:v>
                </c:pt>
                <c:pt idx="208">
                  <c:v>1.4239248091782912E-2</c:v>
                </c:pt>
                <c:pt idx="209">
                  <c:v>0.19843553663628274</c:v>
                </c:pt>
                <c:pt idx="210">
                  <c:v>0.13544922521040537</c:v>
                </c:pt>
                <c:pt idx="211">
                  <c:v>9.0801338077586724E-2</c:v>
                </c:pt>
                <c:pt idx="212">
                  <c:v>3.1596661204032747E-2</c:v>
                </c:pt>
              </c:numCache>
            </c:numRef>
          </c:xVal>
          <c:yVal>
            <c:numRef>
              <c:f>Лист1!$BQ$6:$BQ$218</c:f>
              <c:numCache>
                <c:formatCode>0.00</c:formatCode>
                <c:ptCount val="213"/>
                <c:pt idx="0">
                  <c:v>74.73</c:v>
                </c:pt>
                <c:pt idx="1">
                  <c:v>74.750714285714295</c:v>
                </c:pt>
                <c:pt idx="2">
                  <c:v>74.771428571428586</c:v>
                </c:pt>
                <c:pt idx="3">
                  <c:v>74.792142857142878</c:v>
                </c:pt>
                <c:pt idx="4">
                  <c:v>74.812857142857169</c:v>
                </c:pt>
                <c:pt idx="5">
                  <c:v>74.83357142857146</c:v>
                </c:pt>
                <c:pt idx="6">
                  <c:v>74.854285714285751</c:v>
                </c:pt>
                <c:pt idx="7">
                  <c:v>74.88</c:v>
                </c:pt>
                <c:pt idx="8">
                  <c:v>74.901666666666657</c:v>
                </c:pt>
                <c:pt idx="9">
                  <c:v>74.923333333333318</c:v>
                </c:pt>
                <c:pt idx="10">
                  <c:v>74.944999999999979</c:v>
                </c:pt>
                <c:pt idx="11">
                  <c:v>74.96666666666664</c:v>
                </c:pt>
                <c:pt idx="12">
                  <c:v>74.988333333333301</c:v>
                </c:pt>
                <c:pt idx="13">
                  <c:v>75.069999999999993</c:v>
                </c:pt>
                <c:pt idx="14">
                  <c:v>75.089999999999989</c:v>
                </c:pt>
                <c:pt idx="15">
                  <c:v>75.109999999999985</c:v>
                </c:pt>
                <c:pt idx="16">
                  <c:v>75.129999999999981</c:v>
                </c:pt>
                <c:pt idx="17">
                  <c:v>75.149999999999977</c:v>
                </c:pt>
                <c:pt idx="18">
                  <c:v>75.169999999999973</c:v>
                </c:pt>
                <c:pt idx="20">
                  <c:v>75.734999999999999</c:v>
                </c:pt>
                <c:pt idx="21">
                  <c:v>75.754999999999995</c:v>
                </c:pt>
                <c:pt idx="22">
                  <c:v>75.774999999999991</c:v>
                </c:pt>
                <c:pt idx="23">
                  <c:v>75.794999999999987</c:v>
                </c:pt>
                <c:pt idx="24">
                  <c:v>75.814999999999984</c:v>
                </c:pt>
                <c:pt idx="25">
                  <c:v>75.83499999999998</c:v>
                </c:pt>
                <c:pt idx="26">
                  <c:v>75.854999999999976</c:v>
                </c:pt>
                <c:pt idx="27">
                  <c:v>75.874999999999972</c:v>
                </c:pt>
                <c:pt idx="28">
                  <c:v>75.91</c:v>
                </c:pt>
                <c:pt idx="29">
                  <c:v>75.929999999999993</c:v>
                </c:pt>
                <c:pt idx="30">
                  <c:v>75.949999999999989</c:v>
                </c:pt>
                <c:pt idx="31">
                  <c:v>75.969999999999985</c:v>
                </c:pt>
                <c:pt idx="32">
                  <c:v>75.989999999999981</c:v>
                </c:pt>
                <c:pt idx="33">
                  <c:v>76.009999999999977</c:v>
                </c:pt>
                <c:pt idx="34">
                  <c:v>76.029999999999973</c:v>
                </c:pt>
                <c:pt idx="35">
                  <c:v>76.049999999999969</c:v>
                </c:pt>
                <c:pt idx="36">
                  <c:v>76.069999999999965</c:v>
                </c:pt>
                <c:pt idx="37">
                  <c:v>76.089999999999961</c:v>
                </c:pt>
                <c:pt idx="38">
                  <c:v>76.11</c:v>
                </c:pt>
                <c:pt idx="39">
                  <c:v>76.13</c:v>
                </c:pt>
                <c:pt idx="40">
                  <c:v>76.149999999999991</c:v>
                </c:pt>
                <c:pt idx="41">
                  <c:v>76.169999999999987</c:v>
                </c:pt>
                <c:pt idx="42">
                  <c:v>76.189999999999984</c:v>
                </c:pt>
                <c:pt idx="43">
                  <c:v>76.20999999999998</c:v>
                </c:pt>
                <c:pt idx="44">
                  <c:v>76.240000000000009</c:v>
                </c:pt>
                <c:pt idx="45">
                  <c:v>76.260000000000005</c:v>
                </c:pt>
                <c:pt idx="46">
                  <c:v>76.28</c:v>
                </c:pt>
                <c:pt idx="47">
                  <c:v>76.320000000000007</c:v>
                </c:pt>
                <c:pt idx="48">
                  <c:v>76.34</c:v>
                </c:pt>
                <c:pt idx="49">
                  <c:v>76.36</c:v>
                </c:pt>
                <c:pt idx="50">
                  <c:v>76.38</c:v>
                </c:pt>
                <c:pt idx="51">
                  <c:v>76.399999999999991</c:v>
                </c:pt>
                <c:pt idx="52">
                  <c:v>76.419999999999987</c:v>
                </c:pt>
                <c:pt idx="53">
                  <c:v>76.460000000000008</c:v>
                </c:pt>
                <c:pt idx="54">
                  <c:v>76.48</c:v>
                </c:pt>
                <c:pt idx="55">
                  <c:v>76.5</c:v>
                </c:pt>
                <c:pt idx="56">
                  <c:v>76.52</c:v>
                </c:pt>
                <c:pt idx="57">
                  <c:v>76.539999999999992</c:v>
                </c:pt>
                <c:pt idx="58">
                  <c:v>76.58</c:v>
                </c:pt>
                <c:pt idx="59">
                  <c:v>76.600454545454539</c:v>
                </c:pt>
                <c:pt idx="60">
                  <c:v>76.62090909090908</c:v>
                </c:pt>
                <c:pt idx="61">
                  <c:v>76.641363636363621</c:v>
                </c:pt>
                <c:pt idx="62">
                  <c:v>76.661818181818163</c:v>
                </c:pt>
                <c:pt idx="63">
                  <c:v>76.682272727272704</c:v>
                </c:pt>
                <c:pt idx="64">
                  <c:v>76.702727272727245</c:v>
                </c:pt>
                <c:pt idx="65">
                  <c:v>76.723181818181786</c:v>
                </c:pt>
                <c:pt idx="66">
                  <c:v>76.743636363636327</c:v>
                </c:pt>
                <c:pt idx="67">
                  <c:v>76.764090909090868</c:v>
                </c:pt>
                <c:pt idx="68">
                  <c:v>76.784545454545409</c:v>
                </c:pt>
                <c:pt idx="69">
                  <c:v>76.83</c:v>
                </c:pt>
                <c:pt idx="70">
                  <c:v>76.849999999999994</c:v>
                </c:pt>
                <c:pt idx="71">
                  <c:v>76.86999999999999</c:v>
                </c:pt>
                <c:pt idx="72">
                  <c:v>76.889999999999986</c:v>
                </c:pt>
                <c:pt idx="73">
                  <c:v>76.909999999999982</c:v>
                </c:pt>
                <c:pt idx="74">
                  <c:v>76.929999999999978</c:v>
                </c:pt>
                <c:pt idx="75">
                  <c:v>76.949999999999974</c:v>
                </c:pt>
                <c:pt idx="76">
                  <c:v>76.97</c:v>
                </c:pt>
                <c:pt idx="77">
                  <c:v>76.989999999999995</c:v>
                </c:pt>
                <c:pt idx="78">
                  <c:v>77.009999999999991</c:v>
                </c:pt>
                <c:pt idx="79">
                  <c:v>77.029999999999987</c:v>
                </c:pt>
                <c:pt idx="80">
                  <c:v>77.049999999999983</c:v>
                </c:pt>
                <c:pt idx="81">
                  <c:v>77.070000000000007</c:v>
                </c:pt>
                <c:pt idx="82">
                  <c:v>77.09</c:v>
                </c:pt>
                <c:pt idx="83">
                  <c:v>77.11</c:v>
                </c:pt>
                <c:pt idx="84">
                  <c:v>77.13</c:v>
                </c:pt>
                <c:pt idx="85">
                  <c:v>77.149999999999991</c:v>
                </c:pt>
                <c:pt idx="86">
                  <c:v>77.17</c:v>
                </c:pt>
                <c:pt idx="87">
                  <c:v>77.19</c:v>
                </c:pt>
                <c:pt idx="88">
                  <c:v>77.209999999999994</c:v>
                </c:pt>
                <c:pt idx="89">
                  <c:v>77.22999999999999</c:v>
                </c:pt>
                <c:pt idx="90">
                  <c:v>77.249999999999986</c:v>
                </c:pt>
                <c:pt idx="91">
                  <c:v>77.269999999999982</c:v>
                </c:pt>
                <c:pt idx="92">
                  <c:v>77.289999999999978</c:v>
                </c:pt>
                <c:pt idx="93">
                  <c:v>77.350000000000009</c:v>
                </c:pt>
                <c:pt idx="94">
                  <c:v>77.37</c:v>
                </c:pt>
                <c:pt idx="95">
                  <c:v>77.39</c:v>
                </c:pt>
                <c:pt idx="96">
                  <c:v>77.41</c:v>
                </c:pt>
                <c:pt idx="97">
                  <c:v>77.429999999999993</c:v>
                </c:pt>
                <c:pt idx="98">
                  <c:v>77.449999999999989</c:v>
                </c:pt>
                <c:pt idx="99">
                  <c:v>77.469999999999985</c:v>
                </c:pt>
                <c:pt idx="100">
                  <c:v>77.489999999999981</c:v>
                </c:pt>
                <c:pt idx="101">
                  <c:v>77.53</c:v>
                </c:pt>
                <c:pt idx="102">
                  <c:v>77.55</c:v>
                </c:pt>
                <c:pt idx="103">
                  <c:v>77.569999999999993</c:v>
                </c:pt>
                <c:pt idx="104">
                  <c:v>77.589999999999989</c:v>
                </c:pt>
                <c:pt idx="105">
                  <c:v>77.609999999999985</c:v>
                </c:pt>
                <c:pt idx="106">
                  <c:v>77.629999999999981</c:v>
                </c:pt>
                <c:pt idx="107">
                  <c:v>77.649999999999977</c:v>
                </c:pt>
                <c:pt idx="108">
                  <c:v>77.669999999999973</c:v>
                </c:pt>
                <c:pt idx="109">
                  <c:v>77.679999999999993</c:v>
                </c:pt>
                <c:pt idx="110">
                  <c:v>77.699999999999989</c:v>
                </c:pt>
                <c:pt idx="111">
                  <c:v>77.719999999999985</c:v>
                </c:pt>
                <c:pt idx="112">
                  <c:v>77.739999999999995</c:v>
                </c:pt>
                <c:pt idx="113">
                  <c:v>77.759999999999991</c:v>
                </c:pt>
                <c:pt idx="114">
                  <c:v>77.779999999999987</c:v>
                </c:pt>
                <c:pt idx="115">
                  <c:v>77.799999999999983</c:v>
                </c:pt>
                <c:pt idx="116">
                  <c:v>77.819999999999979</c:v>
                </c:pt>
                <c:pt idx="117">
                  <c:v>77.839999999999975</c:v>
                </c:pt>
                <c:pt idx="118">
                  <c:v>77.859999999999971</c:v>
                </c:pt>
                <c:pt idx="119">
                  <c:v>77.89</c:v>
                </c:pt>
                <c:pt idx="120">
                  <c:v>77.91</c:v>
                </c:pt>
                <c:pt idx="121">
                  <c:v>77.929999999999993</c:v>
                </c:pt>
                <c:pt idx="122">
                  <c:v>77.949999999999989</c:v>
                </c:pt>
                <c:pt idx="123">
                  <c:v>77.969999999999985</c:v>
                </c:pt>
                <c:pt idx="124">
                  <c:v>77.989999999999981</c:v>
                </c:pt>
                <c:pt idx="125">
                  <c:v>78.02</c:v>
                </c:pt>
                <c:pt idx="126">
                  <c:v>78.041428571428568</c:v>
                </c:pt>
                <c:pt idx="127">
                  <c:v>78.062857142857141</c:v>
                </c:pt>
                <c:pt idx="128">
                  <c:v>78.084285714285713</c:v>
                </c:pt>
                <c:pt idx="129">
                  <c:v>78.105714285714285</c:v>
                </c:pt>
                <c:pt idx="130">
                  <c:v>78.127142857142857</c:v>
                </c:pt>
                <c:pt idx="131">
                  <c:v>78.148571428571429</c:v>
                </c:pt>
                <c:pt idx="132">
                  <c:v>78.180000000000007</c:v>
                </c:pt>
                <c:pt idx="133">
                  <c:v>78.2</c:v>
                </c:pt>
                <c:pt idx="134">
                  <c:v>78.22</c:v>
                </c:pt>
                <c:pt idx="135">
                  <c:v>78.239999999999995</c:v>
                </c:pt>
                <c:pt idx="136">
                  <c:v>78.259999999999991</c:v>
                </c:pt>
                <c:pt idx="137">
                  <c:v>78.279999999999987</c:v>
                </c:pt>
                <c:pt idx="138">
                  <c:v>78.299999999999983</c:v>
                </c:pt>
                <c:pt idx="139">
                  <c:v>78.350000000000009</c:v>
                </c:pt>
                <c:pt idx="140">
                  <c:v>78.370833333333337</c:v>
                </c:pt>
                <c:pt idx="141">
                  <c:v>78.391666666666666</c:v>
                </c:pt>
                <c:pt idx="142">
                  <c:v>78.412499999999994</c:v>
                </c:pt>
                <c:pt idx="143">
                  <c:v>78.433333333333323</c:v>
                </c:pt>
                <c:pt idx="144">
                  <c:v>78.454166666666652</c:v>
                </c:pt>
                <c:pt idx="145">
                  <c:v>78.52</c:v>
                </c:pt>
                <c:pt idx="146">
                  <c:v>78.539999999999992</c:v>
                </c:pt>
                <c:pt idx="147">
                  <c:v>78.559999999999988</c:v>
                </c:pt>
                <c:pt idx="148">
                  <c:v>78.579999999999984</c:v>
                </c:pt>
                <c:pt idx="149">
                  <c:v>78.59999999999998</c:v>
                </c:pt>
                <c:pt idx="150">
                  <c:v>78.619999999999976</c:v>
                </c:pt>
                <c:pt idx="151">
                  <c:v>78.66</c:v>
                </c:pt>
                <c:pt idx="152">
                  <c:v>78.679999999999993</c:v>
                </c:pt>
                <c:pt idx="153">
                  <c:v>78.699999999999989</c:v>
                </c:pt>
                <c:pt idx="154">
                  <c:v>78.719999999999985</c:v>
                </c:pt>
                <c:pt idx="155">
                  <c:v>78.739999999999981</c:v>
                </c:pt>
                <c:pt idx="156">
                  <c:v>78.759999999999977</c:v>
                </c:pt>
                <c:pt idx="157">
                  <c:v>78.779999999999973</c:v>
                </c:pt>
                <c:pt idx="158">
                  <c:v>78.799999999999969</c:v>
                </c:pt>
                <c:pt idx="159">
                  <c:v>78.83</c:v>
                </c:pt>
                <c:pt idx="160">
                  <c:v>78.849999999999994</c:v>
                </c:pt>
                <c:pt idx="161">
                  <c:v>78.86999999999999</c:v>
                </c:pt>
                <c:pt idx="162">
                  <c:v>78.889999999999986</c:v>
                </c:pt>
                <c:pt idx="163">
                  <c:v>78.909999999999982</c:v>
                </c:pt>
                <c:pt idx="164">
                  <c:v>78.929999999999978</c:v>
                </c:pt>
                <c:pt idx="165">
                  <c:v>78.949999999999974</c:v>
                </c:pt>
                <c:pt idx="166">
                  <c:v>78.96999999999997</c:v>
                </c:pt>
                <c:pt idx="167">
                  <c:v>79</c:v>
                </c:pt>
                <c:pt idx="168">
                  <c:v>79.02</c:v>
                </c:pt>
                <c:pt idx="169">
                  <c:v>79.039999999999992</c:v>
                </c:pt>
                <c:pt idx="170">
                  <c:v>79.059999999999988</c:v>
                </c:pt>
                <c:pt idx="171">
                  <c:v>79.079999999999984</c:v>
                </c:pt>
                <c:pt idx="172">
                  <c:v>79.09999999999998</c:v>
                </c:pt>
                <c:pt idx="173">
                  <c:v>79.119999999999976</c:v>
                </c:pt>
                <c:pt idx="174">
                  <c:v>79.139999999999972</c:v>
                </c:pt>
                <c:pt idx="175">
                  <c:v>79.159999999999968</c:v>
                </c:pt>
                <c:pt idx="176">
                  <c:v>79.210000000000008</c:v>
                </c:pt>
                <c:pt idx="177">
                  <c:v>79.23</c:v>
                </c:pt>
                <c:pt idx="178">
                  <c:v>79.25</c:v>
                </c:pt>
                <c:pt idx="179">
                  <c:v>79.27</c:v>
                </c:pt>
                <c:pt idx="180">
                  <c:v>79.289999999999992</c:v>
                </c:pt>
                <c:pt idx="181">
                  <c:v>79.309999999999988</c:v>
                </c:pt>
                <c:pt idx="182">
                  <c:v>79.329999999999984</c:v>
                </c:pt>
                <c:pt idx="183">
                  <c:v>79.34</c:v>
                </c:pt>
                <c:pt idx="184">
                  <c:v>79.36</c:v>
                </c:pt>
                <c:pt idx="185">
                  <c:v>79.38</c:v>
                </c:pt>
                <c:pt idx="186">
                  <c:v>79.399999999999991</c:v>
                </c:pt>
                <c:pt idx="187">
                  <c:v>79.460000000000008</c:v>
                </c:pt>
                <c:pt idx="188">
                  <c:v>79.48</c:v>
                </c:pt>
                <c:pt idx="189">
                  <c:v>79.5</c:v>
                </c:pt>
                <c:pt idx="190">
                  <c:v>79.52</c:v>
                </c:pt>
                <c:pt idx="191">
                  <c:v>79.539999999999992</c:v>
                </c:pt>
                <c:pt idx="192">
                  <c:v>79.559999999999988</c:v>
                </c:pt>
                <c:pt idx="193">
                  <c:v>79.579999999999984</c:v>
                </c:pt>
                <c:pt idx="194">
                  <c:v>79.59999999999998</c:v>
                </c:pt>
                <c:pt idx="195">
                  <c:v>79.62</c:v>
                </c:pt>
                <c:pt idx="196">
                  <c:v>79.64</c:v>
                </c:pt>
                <c:pt idx="197">
                  <c:v>79.66</c:v>
                </c:pt>
                <c:pt idx="198">
                  <c:v>79.679999999999993</c:v>
                </c:pt>
                <c:pt idx="199">
                  <c:v>79.699999999999989</c:v>
                </c:pt>
                <c:pt idx="200">
                  <c:v>79.719999999999985</c:v>
                </c:pt>
                <c:pt idx="201">
                  <c:v>79.739999999999981</c:v>
                </c:pt>
                <c:pt idx="202">
                  <c:v>79.759999999999977</c:v>
                </c:pt>
                <c:pt idx="203">
                  <c:v>79.8</c:v>
                </c:pt>
                <c:pt idx="204">
                  <c:v>79.819999999999993</c:v>
                </c:pt>
                <c:pt idx="205">
                  <c:v>79.839999999999989</c:v>
                </c:pt>
                <c:pt idx="206">
                  <c:v>79.859999999999985</c:v>
                </c:pt>
                <c:pt idx="207">
                  <c:v>79.879999999999981</c:v>
                </c:pt>
                <c:pt idx="208">
                  <c:v>79.899999999999977</c:v>
                </c:pt>
                <c:pt idx="209">
                  <c:v>79.919999999999973</c:v>
                </c:pt>
                <c:pt idx="210">
                  <c:v>79.939999999999969</c:v>
                </c:pt>
                <c:pt idx="211">
                  <c:v>79.959999999999965</c:v>
                </c:pt>
                <c:pt idx="212">
                  <c:v>79.979999999999961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9-40CF-B6B7-EE270C661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27806080"/>
        <c:axId val="-1527796288"/>
      </c:scatterChart>
      <c:valAx>
        <c:axId val="-1527806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796288"/>
        <c:crosses val="autoZero"/>
        <c:crossBetween val="midCat"/>
      </c:valAx>
      <c:valAx>
        <c:axId val="-1527796288"/>
        <c:scaling>
          <c:orientation val="maxMin"/>
          <c:max val="80"/>
          <c:min val="7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80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NRM/ARM(35-60)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Лист1!$BL$2:$BL$219</c:f>
              <c:numCache>
                <c:formatCode>0.00E+00</c:formatCode>
                <c:ptCount val="218"/>
                <c:pt idx="0">
                  <c:v>0.14410429036425346</c:v>
                </c:pt>
                <c:pt idx="1">
                  <c:v>0.19534869454722698</c:v>
                </c:pt>
                <c:pt idx="2">
                  <c:v>0.16996172277071123</c:v>
                </c:pt>
                <c:pt idx="3">
                  <c:v>9.3946479459690202E-2</c:v>
                </c:pt>
                <c:pt idx="4">
                  <c:v>0.12242364242061227</c:v>
                </c:pt>
                <c:pt idx="5">
                  <c:v>8.4423180216266241E-2</c:v>
                </c:pt>
                <c:pt idx="6">
                  <c:v>6.0667753282492111E-2</c:v>
                </c:pt>
                <c:pt idx="7">
                  <c:v>4.936959213123359E-2</c:v>
                </c:pt>
                <c:pt idx="8">
                  <c:v>0.1037972428228234</c:v>
                </c:pt>
                <c:pt idx="9">
                  <c:v>0.1050006466912482</c:v>
                </c:pt>
                <c:pt idx="10">
                  <c:v>8.2083368979228674E-2</c:v>
                </c:pt>
                <c:pt idx="11">
                  <c:v>9.7158346182748004E-2</c:v>
                </c:pt>
                <c:pt idx="12">
                  <c:v>9.6586390227057617E-2</c:v>
                </c:pt>
                <c:pt idx="13">
                  <c:v>8.5162615024841057E-2</c:v>
                </c:pt>
                <c:pt idx="14">
                  <c:v>9.3414526987295535E-2</c:v>
                </c:pt>
                <c:pt idx="15">
                  <c:v>6.4693266290240803E-2</c:v>
                </c:pt>
                <c:pt idx="16">
                  <c:v>2.0260223743204225E-2</c:v>
                </c:pt>
                <c:pt idx="17">
                  <c:v>4.113462267730103E-2</c:v>
                </c:pt>
                <c:pt idx="18">
                  <c:v>6.4014858459827503E-2</c:v>
                </c:pt>
                <c:pt idx="19">
                  <c:v>2.7118749731606773E-2</c:v>
                </c:pt>
                <c:pt idx="20">
                  <c:v>7.2546043853555592E-2</c:v>
                </c:pt>
                <c:pt idx="21">
                  <c:v>7.1137863909288265E-2</c:v>
                </c:pt>
                <c:pt idx="22">
                  <c:v>7.254108953747751E-2</c:v>
                </c:pt>
                <c:pt idx="24">
                  <c:v>3.757376880203743E-2</c:v>
                </c:pt>
                <c:pt idx="25">
                  <c:v>1.7116616767585142E-2</c:v>
                </c:pt>
                <c:pt idx="26">
                  <c:v>6.1013079642914551E-3</c:v>
                </c:pt>
                <c:pt idx="27">
                  <c:v>3.9600112276508725E-2</c:v>
                </c:pt>
                <c:pt idx="28">
                  <c:v>1.2281146392202421E-2</c:v>
                </c:pt>
                <c:pt idx="29">
                  <c:v>4.8117894262374845E-2</c:v>
                </c:pt>
                <c:pt idx="30">
                  <c:v>3.1312925694094787E-2</c:v>
                </c:pt>
                <c:pt idx="31">
                  <c:v>2.5050010173112352E-2</c:v>
                </c:pt>
                <c:pt idx="32">
                  <c:v>3.080749317740283E-2</c:v>
                </c:pt>
                <c:pt idx="33">
                  <c:v>2.2887637024656134E-2</c:v>
                </c:pt>
                <c:pt idx="34">
                  <c:v>3.558939416169693E-3</c:v>
                </c:pt>
                <c:pt idx="35">
                  <c:v>1.4291228082534519E-3</c:v>
                </c:pt>
                <c:pt idx="36">
                  <c:v>1.6475543301470764E-2</c:v>
                </c:pt>
                <c:pt idx="37">
                  <c:v>1.4975322685398799E-2</c:v>
                </c:pt>
                <c:pt idx="38">
                  <c:v>8.4902333601739391E-3</c:v>
                </c:pt>
                <c:pt idx="39">
                  <c:v>1.3748449332178482E-2</c:v>
                </c:pt>
                <c:pt idx="40">
                  <c:v>2.4233385969955591E-2</c:v>
                </c:pt>
                <c:pt idx="41">
                  <c:v>2.5688640930037959E-2</c:v>
                </c:pt>
                <c:pt idx="42">
                  <c:v>-4.4167500460237244E-3</c:v>
                </c:pt>
                <c:pt idx="43">
                  <c:v>3.3904191196796815E-2</c:v>
                </c:pt>
                <c:pt idx="44">
                  <c:v>8.5685932292792841E-3</c:v>
                </c:pt>
                <c:pt idx="45">
                  <c:v>2.3977309102157035E-2</c:v>
                </c:pt>
                <c:pt idx="46">
                  <c:v>-1.4634290541256288E-2</c:v>
                </c:pt>
                <c:pt idx="47">
                  <c:v>1.9677301496239967E-2</c:v>
                </c:pt>
                <c:pt idx="48">
                  <c:v>4.0839816936567665E-2</c:v>
                </c:pt>
                <c:pt idx="49">
                  <c:v>2.5491350320344459E-2</c:v>
                </c:pt>
                <c:pt idx="50">
                  <c:v>-4.9442721767640454E-4</c:v>
                </c:pt>
                <c:pt idx="51">
                  <c:v>3.8723562942536455E-2</c:v>
                </c:pt>
                <c:pt idx="52">
                  <c:v>2.3101668395758952E-2</c:v>
                </c:pt>
                <c:pt idx="53">
                  <c:v>1.8949134098225975E-2</c:v>
                </c:pt>
                <c:pt idx="54">
                  <c:v>1.7065264763206536E-2</c:v>
                </c:pt>
                <c:pt idx="55">
                  <c:v>4.7353745660093573E-2</c:v>
                </c:pt>
                <c:pt idx="56">
                  <c:v>5.0849562820110827E-2</c:v>
                </c:pt>
                <c:pt idx="57">
                  <c:v>2.4991280030077837E-2</c:v>
                </c:pt>
                <c:pt idx="58">
                  <c:v>3.497945303248929E-2</c:v>
                </c:pt>
                <c:pt idx="59">
                  <c:v>8.3481846371513443E-2</c:v>
                </c:pt>
                <c:pt idx="60">
                  <c:v>3.9079819686722833E-2</c:v>
                </c:pt>
                <c:pt idx="61">
                  <c:v>5.4491913584124384E-2</c:v>
                </c:pt>
                <c:pt idx="62">
                  <c:v>3.0313630018818899E-2</c:v>
                </c:pt>
                <c:pt idx="63">
                  <c:v>2.3687168417470865E-2</c:v>
                </c:pt>
                <c:pt idx="64">
                  <c:v>8.4990337324128886E-3</c:v>
                </c:pt>
                <c:pt idx="65">
                  <c:v>3.950197747063685E-2</c:v>
                </c:pt>
                <c:pt idx="66">
                  <c:v>2.7147227084178618E-2</c:v>
                </c:pt>
                <c:pt idx="67">
                  <c:v>-3.6585004971223952E-3</c:v>
                </c:pt>
                <c:pt idx="68">
                  <c:v>3.0859714973688796E-2</c:v>
                </c:pt>
                <c:pt idx="69">
                  <c:v>3.1188478198429005E-2</c:v>
                </c:pt>
                <c:pt idx="70">
                  <c:v>2.3451456681480805E-2</c:v>
                </c:pt>
                <c:pt idx="71">
                  <c:v>3.667012652294227E-2</c:v>
                </c:pt>
                <c:pt idx="72">
                  <c:v>4.8507207421685366E-4</c:v>
                </c:pt>
                <c:pt idx="73">
                  <c:v>4.5786321183813122E-2</c:v>
                </c:pt>
                <c:pt idx="74">
                  <c:v>5.690712977775423E-2</c:v>
                </c:pt>
                <c:pt idx="75">
                  <c:v>3.2950932242256238E-2</c:v>
                </c:pt>
                <c:pt idx="76">
                  <c:v>3.176555195012E-2</c:v>
                </c:pt>
                <c:pt idx="77">
                  <c:v>4.1586476018627611E-2</c:v>
                </c:pt>
                <c:pt idx="78">
                  <c:v>3.6452371820975937E-2</c:v>
                </c:pt>
                <c:pt idx="79">
                  <c:v>5.1717148162469716E-2</c:v>
                </c:pt>
                <c:pt idx="80">
                  <c:v>3.5367675300858457E-2</c:v>
                </c:pt>
                <c:pt idx="81">
                  <c:v>3.6150802454698566E-2</c:v>
                </c:pt>
                <c:pt idx="82">
                  <c:v>4.5292960980221647E-2</c:v>
                </c:pt>
                <c:pt idx="83">
                  <c:v>5.0660775645057457E-2</c:v>
                </c:pt>
                <c:pt idx="84">
                  <c:v>1.4531944771826167E-3</c:v>
                </c:pt>
                <c:pt idx="85">
                  <c:v>1.8461268047077671E-2</c:v>
                </c:pt>
                <c:pt idx="86">
                  <c:v>1.7589689016458934E-2</c:v>
                </c:pt>
                <c:pt idx="87">
                  <c:v>4.1089888313843317E-2</c:v>
                </c:pt>
                <c:pt idx="88">
                  <c:v>6.1105409185492246E-2</c:v>
                </c:pt>
                <c:pt idx="89">
                  <c:v>0.11472495350262528</c:v>
                </c:pt>
                <c:pt idx="90">
                  <c:v>1.8720204738936697E-2</c:v>
                </c:pt>
                <c:pt idx="91">
                  <c:v>4.8222904251936011E-2</c:v>
                </c:pt>
                <c:pt idx="92">
                  <c:v>3.8826217621909985E-2</c:v>
                </c:pt>
                <c:pt idx="93">
                  <c:v>5.8785637802771309E-2</c:v>
                </c:pt>
                <c:pt idx="94">
                  <c:v>2.9399438213527092E-2</c:v>
                </c:pt>
                <c:pt idx="95">
                  <c:v>5.8547961582971181E-2</c:v>
                </c:pt>
                <c:pt idx="96">
                  <c:v>2.5031061142647429E-2</c:v>
                </c:pt>
                <c:pt idx="97">
                  <c:v>2.887418447249826E-2</c:v>
                </c:pt>
                <c:pt idx="98">
                  <c:v>4.4405157644073254E-2</c:v>
                </c:pt>
                <c:pt idx="99">
                  <c:v>3.1581759620977069E-2</c:v>
                </c:pt>
                <c:pt idx="100">
                  <c:v>1.4352648451663839E-2</c:v>
                </c:pt>
                <c:pt idx="101">
                  <c:v>1.9786500481851349E-3</c:v>
                </c:pt>
                <c:pt idx="102">
                  <c:v>4.4334632273408441E-2</c:v>
                </c:pt>
                <c:pt idx="103">
                  <c:v>7.6750150684093521E-2</c:v>
                </c:pt>
                <c:pt idx="104">
                  <c:v>6.2064420822573373E-2</c:v>
                </c:pt>
                <c:pt idx="105">
                  <c:v>3.8170248359367193E-2</c:v>
                </c:pt>
                <c:pt idx="106">
                  <c:v>3.2031435971589618E-2</c:v>
                </c:pt>
                <c:pt idx="107">
                  <c:v>3.0388101542036796E-3</c:v>
                </c:pt>
                <c:pt idx="108">
                  <c:v>1.907710435509619E-2</c:v>
                </c:pt>
                <c:pt idx="109">
                  <c:v>2.4318727565503746E-2</c:v>
                </c:pt>
                <c:pt idx="110">
                  <c:v>5.8879210935585333E-2</c:v>
                </c:pt>
                <c:pt idx="111">
                  <c:v>3.3793528538359131E-2</c:v>
                </c:pt>
                <c:pt idx="112">
                  <c:v>9.9018083276565402E-2</c:v>
                </c:pt>
                <c:pt idx="113">
                  <c:v>0.11533057967974782</c:v>
                </c:pt>
                <c:pt idx="114">
                  <c:v>0.12802964396796965</c:v>
                </c:pt>
                <c:pt idx="115">
                  <c:v>9.42033645385634E-2</c:v>
                </c:pt>
                <c:pt idx="116">
                  <c:v>0.1500487518629687</c:v>
                </c:pt>
                <c:pt idx="117">
                  <c:v>7.3101915799142048E-2</c:v>
                </c:pt>
                <c:pt idx="118">
                  <c:v>2.3557332461459218E-3</c:v>
                </c:pt>
                <c:pt idx="119">
                  <c:v>3.5371343138931338E-2</c:v>
                </c:pt>
                <c:pt idx="120">
                  <c:v>5.7780674243293209E-2</c:v>
                </c:pt>
                <c:pt idx="121">
                  <c:v>3.450050163348907E-2</c:v>
                </c:pt>
                <c:pt idx="122">
                  <c:v>6.913026428263043E-2</c:v>
                </c:pt>
                <c:pt idx="123">
                  <c:v>1.4287235011458743E-2</c:v>
                </c:pt>
                <c:pt idx="124">
                  <c:v>2.1166990691826388E-2</c:v>
                </c:pt>
                <c:pt idx="125">
                  <c:v>6.0488557718384128E-2</c:v>
                </c:pt>
                <c:pt idx="126">
                  <c:v>4.5907969852265224E-2</c:v>
                </c:pt>
                <c:pt idx="127">
                  <c:v>4.0260231367679408E-2</c:v>
                </c:pt>
                <c:pt idx="128">
                  <c:v>7.0427196431192551E-2</c:v>
                </c:pt>
                <c:pt idx="129">
                  <c:v>4.717554687222679E-2</c:v>
                </c:pt>
                <c:pt idx="130">
                  <c:v>2.8396978505185619E-2</c:v>
                </c:pt>
                <c:pt idx="131">
                  <c:v>4.1729306560249757E-2</c:v>
                </c:pt>
                <c:pt idx="132">
                  <c:v>7.3522375554806521E-2</c:v>
                </c:pt>
                <c:pt idx="133">
                  <c:v>8.9424436268504742E-2</c:v>
                </c:pt>
                <c:pt idx="134">
                  <c:v>6.0607996037180263E-2</c:v>
                </c:pt>
                <c:pt idx="135">
                  <c:v>1.640041901866977E-2</c:v>
                </c:pt>
                <c:pt idx="136">
                  <c:v>5.0689569400341007E-2</c:v>
                </c:pt>
                <c:pt idx="137">
                  <c:v>8.2839008800664388E-2</c:v>
                </c:pt>
                <c:pt idx="138">
                  <c:v>9.656190992554009E-2</c:v>
                </c:pt>
                <c:pt idx="139">
                  <c:v>5.1641700124339454E-2</c:v>
                </c:pt>
                <c:pt idx="140">
                  <c:v>5.5325701928985144E-2</c:v>
                </c:pt>
                <c:pt idx="141">
                  <c:v>5.8931830827858758E-2</c:v>
                </c:pt>
                <c:pt idx="142">
                  <c:v>6.2573475522572988E-2</c:v>
                </c:pt>
                <c:pt idx="143">
                  <c:v>7.6539085468887047E-2</c:v>
                </c:pt>
                <c:pt idx="144">
                  <c:v>6.4386307790439162E-2</c:v>
                </c:pt>
                <c:pt idx="145">
                  <c:v>8.1580017562066703E-2</c:v>
                </c:pt>
                <c:pt idx="146">
                  <c:v>5.9091492896169891E-2</c:v>
                </c:pt>
                <c:pt idx="147">
                  <c:v>9.6341510451109724E-2</c:v>
                </c:pt>
                <c:pt idx="148">
                  <c:v>4.1638005824807416E-2</c:v>
                </c:pt>
                <c:pt idx="149">
                  <c:v>6.8742512491308708E-2</c:v>
                </c:pt>
                <c:pt idx="150">
                  <c:v>8.8891081467362257E-2</c:v>
                </c:pt>
                <c:pt idx="152">
                  <c:v>0.11666851146677035</c:v>
                </c:pt>
                <c:pt idx="153">
                  <c:v>9.4333984106748786E-2</c:v>
                </c:pt>
                <c:pt idx="154">
                  <c:v>5.1643130555941698E-2</c:v>
                </c:pt>
                <c:pt idx="155">
                  <c:v>6.1129958967408179E-2</c:v>
                </c:pt>
                <c:pt idx="156">
                  <c:v>0.10885468458968785</c:v>
                </c:pt>
                <c:pt idx="157">
                  <c:v>6.5512501288082087E-2</c:v>
                </c:pt>
                <c:pt idx="158">
                  <c:v>0.13064034608390754</c:v>
                </c:pt>
                <c:pt idx="159">
                  <c:v>9.9194523456184749E-2</c:v>
                </c:pt>
                <c:pt idx="160">
                  <c:v>0.10091755227222919</c:v>
                </c:pt>
                <c:pt idx="161">
                  <c:v>8.610843761073092E-2</c:v>
                </c:pt>
                <c:pt idx="162">
                  <c:v>0.15758614798190138</c:v>
                </c:pt>
                <c:pt idx="163">
                  <c:v>9.6063618484258054E-2</c:v>
                </c:pt>
                <c:pt idx="164">
                  <c:v>7.6615956201144864E-2</c:v>
                </c:pt>
                <c:pt idx="165">
                  <c:v>8.8917881177417515E-2</c:v>
                </c:pt>
                <c:pt idx="166">
                  <c:v>7.929208035610194E-2</c:v>
                </c:pt>
                <c:pt idx="167">
                  <c:v>0.10889707095160074</c:v>
                </c:pt>
                <c:pt idx="168">
                  <c:v>6.5817174623983538E-2</c:v>
                </c:pt>
                <c:pt idx="169">
                  <c:v>6.8080420327759197E-2</c:v>
                </c:pt>
                <c:pt idx="170">
                  <c:v>8.7206812403898271E-2</c:v>
                </c:pt>
                <c:pt idx="171">
                  <c:v>0.13242760912073046</c:v>
                </c:pt>
                <c:pt idx="172">
                  <c:v>9.2429729421203574E-2</c:v>
                </c:pt>
                <c:pt idx="173">
                  <c:v>8.0198088305216367E-2</c:v>
                </c:pt>
                <c:pt idx="174">
                  <c:v>9.482664272816041E-2</c:v>
                </c:pt>
                <c:pt idx="175">
                  <c:v>8.3659571830494564E-2</c:v>
                </c:pt>
                <c:pt idx="176">
                  <c:v>0.11535521204984764</c:v>
                </c:pt>
                <c:pt idx="177">
                  <c:v>0.11299595651536222</c:v>
                </c:pt>
                <c:pt idx="178">
                  <c:v>9.9810677375733098E-2</c:v>
                </c:pt>
                <c:pt idx="179">
                  <c:v>0.10280009560357155</c:v>
                </c:pt>
                <c:pt idx="180">
                  <c:v>0.13466193890257594</c:v>
                </c:pt>
                <c:pt idx="181">
                  <c:v>0.14620376471196977</c:v>
                </c:pt>
                <c:pt idx="182">
                  <c:v>0.12334473827036399</c:v>
                </c:pt>
                <c:pt idx="183">
                  <c:v>0.11775162836767643</c:v>
                </c:pt>
                <c:pt idx="184">
                  <c:v>6.8760173745329806E-2</c:v>
                </c:pt>
                <c:pt idx="185">
                  <c:v>9.5032504851905231E-2</c:v>
                </c:pt>
                <c:pt idx="186">
                  <c:v>0.15122406647870243</c:v>
                </c:pt>
                <c:pt idx="187">
                  <c:v>6.8411764637069369E-2</c:v>
                </c:pt>
                <c:pt idx="188">
                  <c:v>7.126212954442053E-2</c:v>
                </c:pt>
                <c:pt idx="189">
                  <c:v>7.4582582622622684E-2</c:v>
                </c:pt>
                <c:pt idx="190">
                  <c:v>6.7182368582694829E-2</c:v>
                </c:pt>
                <c:pt idx="191">
                  <c:v>5.8864433846332914E-2</c:v>
                </c:pt>
                <c:pt idx="192">
                  <c:v>7.1785551887314739E-2</c:v>
                </c:pt>
                <c:pt idx="193">
                  <c:v>6.6044586312377238E-2</c:v>
                </c:pt>
                <c:pt idx="194">
                  <c:v>6.6712953546898407E-2</c:v>
                </c:pt>
                <c:pt idx="195">
                  <c:v>5.0730577382560316E-2</c:v>
                </c:pt>
                <c:pt idx="196">
                  <c:v>8.4988379794554855E-2</c:v>
                </c:pt>
                <c:pt idx="197">
                  <c:v>4.886080703980146E-2</c:v>
                </c:pt>
                <c:pt idx="198">
                  <c:v>7.4200733769833688E-2</c:v>
                </c:pt>
                <c:pt idx="199">
                  <c:v>7.3924233446704443E-2</c:v>
                </c:pt>
                <c:pt idx="200">
                  <c:v>5.3892524974241914E-2</c:v>
                </c:pt>
                <c:pt idx="201">
                  <c:v>3.5493967961503239E-2</c:v>
                </c:pt>
                <c:pt idx="202">
                  <c:v>5.3817134544950886E-2</c:v>
                </c:pt>
                <c:pt idx="203">
                  <c:v>5.1572985598526605E-2</c:v>
                </c:pt>
                <c:pt idx="204">
                  <c:v>7.0471597183228096E-2</c:v>
                </c:pt>
                <c:pt idx="205">
                  <c:v>5.2323861178678363E-2</c:v>
                </c:pt>
                <c:pt idx="206">
                  <c:v>2.8934543697928954E-2</c:v>
                </c:pt>
                <c:pt idx="207">
                  <c:v>2.6715468662565387E-2</c:v>
                </c:pt>
                <c:pt idx="208">
                  <c:v>4.0234093530870409E-2</c:v>
                </c:pt>
                <c:pt idx="209">
                  <c:v>3.2866200584178475E-2</c:v>
                </c:pt>
                <c:pt idx="210">
                  <c:v>5.6632697455713719E-2</c:v>
                </c:pt>
                <c:pt idx="211">
                  <c:v>6.0531271665788769E-2</c:v>
                </c:pt>
                <c:pt idx="212">
                  <c:v>1.1150560701183067E-2</c:v>
                </c:pt>
                <c:pt idx="213">
                  <c:v>0.18688507162159895</c:v>
                </c:pt>
                <c:pt idx="214">
                  <c:v>0.15768300683948999</c:v>
                </c:pt>
                <c:pt idx="215">
                  <c:v>8.7638949525755003E-2</c:v>
                </c:pt>
                <c:pt idx="216">
                  <c:v>2.7099881056807544E-2</c:v>
                </c:pt>
                <c:pt idx="217">
                  <c:v>5.2487090718160379E-2</c:v>
                </c:pt>
              </c:numCache>
            </c:numRef>
          </c:xVal>
          <c:yVal>
            <c:numRef>
              <c:f>Лист1!$BQ$2:$BQ$219</c:f>
              <c:numCache>
                <c:formatCode>General</c:formatCode>
                <c:ptCount val="218"/>
                <c:pt idx="0">
                  <c:v>73.199999999999989</c:v>
                </c:pt>
                <c:pt idx="1">
                  <c:v>73.699999999999989</c:v>
                </c:pt>
                <c:pt idx="2">
                  <c:v>74.199999999999989</c:v>
                </c:pt>
                <c:pt idx="3">
                  <c:v>74.529999999999987</c:v>
                </c:pt>
                <c:pt idx="4" formatCode="0.00">
                  <c:v>74.73</c:v>
                </c:pt>
                <c:pt idx="5" formatCode="0.00">
                  <c:v>74.750714285714295</c:v>
                </c:pt>
                <c:pt idx="6" formatCode="0.00">
                  <c:v>74.771428571428586</c:v>
                </c:pt>
                <c:pt idx="7" formatCode="0.00">
                  <c:v>74.792142857142878</c:v>
                </c:pt>
                <c:pt idx="8" formatCode="0.00">
                  <c:v>74.812857142857169</c:v>
                </c:pt>
                <c:pt idx="9" formatCode="0.00">
                  <c:v>74.83357142857146</c:v>
                </c:pt>
                <c:pt idx="10" formatCode="0.00">
                  <c:v>74.854285714285751</c:v>
                </c:pt>
                <c:pt idx="11" formatCode="0.00">
                  <c:v>74.88</c:v>
                </c:pt>
                <c:pt idx="12" formatCode="0.00">
                  <c:v>74.901666666666657</c:v>
                </c:pt>
                <c:pt idx="13" formatCode="0.00">
                  <c:v>74.923333333333318</c:v>
                </c:pt>
                <c:pt idx="14" formatCode="0.00">
                  <c:v>74.944999999999979</c:v>
                </c:pt>
                <c:pt idx="15" formatCode="0.00">
                  <c:v>74.96666666666664</c:v>
                </c:pt>
                <c:pt idx="16" formatCode="0.00">
                  <c:v>74.988333333333301</c:v>
                </c:pt>
                <c:pt idx="17" formatCode="0.00">
                  <c:v>75.069999999999993</c:v>
                </c:pt>
                <c:pt idx="18" formatCode="0.00">
                  <c:v>75.089999999999989</c:v>
                </c:pt>
                <c:pt idx="19" formatCode="0.00">
                  <c:v>75.109999999999985</c:v>
                </c:pt>
                <c:pt idx="20" formatCode="0.00">
                  <c:v>75.129999999999981</c:v>
                </c:pt>
                <c:pt idx="21" formatCode="0.00">
                  <c:v>75.149999999999977</c:v>
                </c:pt>
                <c:pt idx="22" formatCode="0.00">
                  <c:v>75.169999999999973</c:v>
                </c:pt>
                <c:pt idx="24" formatCode="0.00">
                  <c:v>75.734999999999999</c:v>
                </c:pt>
                <c:pt idx="25" formatCode="0.00">
                  <c:v>75.754999999999995</c:v>
                </c:pt>
                <c:pt idx="26" formatCode="0.00">
                  <c:v>75.774999999999991</c:v>
                </c:pt>
                <c:pt idx="27" formatCode="0.00">
                  <c:v>75.794999999999987</c:v>
                </c:pt>
                <c:pt idx="28" formatCode="0.00">
                  <c:v>75.814999999999984</c:v>
                </c:pt>
                <c:pt idx="29" formatCode="0.00">
                  <c:v>75.83499999999998</c:v>
                </c:pt>
                <c:pt idx="30" formatCode="0.00">
                  <c:v>75.854999999999976</c:v>
                </c:pt>
                <c:pt idx="31" formatCode="0.00">
                  <c:v>75.874999999999972</c:v>
                </c:pt>
                <c:pt idx="32" formatCode="0.00">
                  <c:v>75.91</c:v>
                </c:pt>
                <c:pt idx="33" formatCode="0.00">
                  <c:v>75.929999999999993</c:v>
                </c:pt>
                <c:pt idx="34" formatCode="0.00">
                  <c:v>75.949999999999989</c:v>
                </c:pt>
                <c:pt idx="35" formatCode="0.00">
                  <c:v>75.969999999999985</c:v>
                </c:pt>
                <c:pt idx="36" formatCode="0.00">
                  <c:v>75.989999999999981</c:v>
                </c:pt>
                <c:pt idx="37" formatCode="0.00">
                  <c:v>76.009999999999977</c:v>
                </c:pt>
                <c:pt idx="38" formatCode="0.00">
                  <c:v>76.029999999999973</c:v>
                </c:pt>
                <c:pt idx="39" formatCode="0.00">
                  <c:v>76.049999999999969</c:v>
                </c:pt>
                <c:pt idx="40" formatCode="0.00">
                  <c:v>76.069999999999965</c:v>
                </c:pt>
                <c:pt idx="41" formatCode="0.00">
                  <c:v>76.089999999999961</c:v>
                </c:pt>
                <c:pt idx="42" formatCode="0.00">
                  <c:v>76.11</c:v>
                </c:pt>
                <c:pt idx="43" formatCode="0.00">
                  <c:v>76.13</c:v>
                </c:pt>
                <c:pt idx="44" formatCode="0.00">
                  <c:v>76.149999999999991</c:v>
                </c:pt>
                <c:pt idx="45" formatCode="0.00">
                  <c:v>76.169999999999987</c:v>
                </c:pt>
                <c:pt idx="46" formatCode="0.00">
                  <c:v>76.189999999999984</c:v>
                </c:pt>
                <c:pt idx="47" formatCode="0.00">
                  <c:v>76.20999999999998</c:v>
                </c:pt>
                <c:pt idx="48" formatCode="0.00">
                  <c:v>76.240000000000009</c:v>
                </c:pt>
                <c:pt idx="49" formatCode="0.00">
                  <c:v>76.260000000000005</c:v>
                </c:pt>
                <c:pt idx="50" formatCode="0.00">
                  <c:v>76.28</c:v>
                </c:pt>
                <c:pt idx="51" formatCode="0.00">
                  <c:v>76.320000000000007</c:v>
                </c:pt>
                <c:pt idx="52" formatCode="0.00">
                  <c:v>76.34</c:v>
                </c:pt>
                <c:pt idx="53" formatCode="0.00">
                  <c:v>76.36</c:v>
                </c:pt>
                <c:pt idx="54" formatCode="0.00">
                  <c:v>76.38</c:v>
                </c:pt>
                <c:pt idx="55" formatCode="0.00">
                  <c:v>76.399999999999991</c:v>
                </c:pt>
                <c:pt idx="56" formatCode="0.00">
                  <c:v>76.419999999999987</c:v>
                </c:pt>
                <c:pt idx="57" formatCode="0.00">
                  <c:v>76.460000000000008</c:v>
                </c:pt>
                <c:pt idx="58" formatCode="0.00">
                  <c:v>76.48</c:v>
                </c:pt>
                <c:pt idx="59" formatCode="0.00">
                  <c:v>76.5</c:v>
                </c:pt>
                <c:pt idx="60" formatCode="0.00">
                  <c:v>76.52</c:v>
                </c:pt>
                <c:pt idx="61" formatCode="0.00">
                  <c:v>76.539999999999992</c:v>
                </c:pt>
                <c:pt idx="62" formatCode="0.00">
                  <c:v>76.58</c:v>
                </c:pt>
                <c:pt idx="63" formatCode="0.00">
                  <c:v>76.600454545454539</c:v>
                </c:pt>
                <c:pt idx="64" formatCode="0.00">
                  <c:v>76.62090909090908</c:v>
                </c:pt>
                <c:pt idx="65" formatCode="0.00">
                  <c:v>76.641363636363621</c:v>
                </c:pt>
                <c:pt idx="66" formatCode="0.00">
                  <c:v>76.661818181818163</c:v>
                </c:pt>
                <c:pt idx="67" formatCode="0.00">
                  <c:v>76.682272727272704</c:v>
                </c:pt>
                <c:pt idx="68" formatCode="0.00">
                  <c:v>76.702727272727245</c:v>
                </c:pt>
                <c:pt idx="69" formatCode="0.00">
                  <c:v>76.723181818181786</c:v>
                </c:pt>
                <c:pt idx="70" formatCode="0.00">
                  <c:v>76.743636363636327</c:v>
                </c:pt>
                <c:pt idx="71" formatCode="0.00">
                  <c:v>76.764090909090868</c:v>
                </c:pt>
                <c:pt idx="72" formatCode="0.00">
                  <c:v>76.784545454545409</c:v>
                </c:pt>
                <c:pt idx="73" formatCode="0.00">
                  <c:v>76.83</c:v>
                </c:pt>
                <c:pt idx="74" formatCode="0.00">
                  <c:v>76.849999999999994</c:v>
                </c:pt>
                <c:pt idx="75" formatCode="0.00">
                  <c:v>76.86999999999999</c:v>
                </c:pt>
                <c:pt idx="76" formatCode="0.00">
                  <c:v>76.889999999999986</c:v>
                </c:pt>
                <c:pt idx="77" formatCode="0.00">
                  <c:v>76.909999999999982</c:v>
                </c:pt>
                <c:pt idx="78" formatCode="0.00">
                  <c:v>76.929999999999978</c:v>
                </c:pt>
                <c:pt idx="79" formatCode="0.00">
                  <c:v>76.949999999999974</c:v>
                </c:pt>
                <c:pt idx="80" formatCode="0.00">
                  <c:v>76.97</c:v>
                </c:pt>
                <c:pt idx="81" formatCode="0.00">
                  <c:v>76.989999999999995</c:v>
                </c:pt>
                <c:pt idx="82" formatCode="0.00">
                  <c:v>77.009999999999991</c:v>
                </c:pt>
                <c:pt idx="83" formatCode="0.00">
                  <c:v>77.029999999999987</c:v>
                </c:pt>
                <c:pt idx="84" formatCode="0.00">
                  <c:v>77.049999999999983</c:v>
                </c:pt>
                <c:pt idx="85" formatCode="0.00">
                  <c:v>77.070000000000007</c:v>
                </c:pt>
                <c:pt idx="86" formatCode="0.00">
                  <c:v>77.09</c:v>
                </c:pt>
                <c:pt idx="87" formatCode="0.00">
                  <c:v>77.11</c:v>
                </c:pt>
                <c:pt idx="88" formatCode="0.00">
                  <c:v>77.13</c:v>
                </c:pt>
                <c:pt idx="89" formatCode="0.00">
                  <c:v>77.149999999999991</c:v>
                </c:pt>
                <c:pt idx="90" formatCode="0.00">
                  <c:v>77.17</c:v>
                </c:pt>
                <c:pt idx="91" formatCode="0.00">
                  <c:v>77.19</c:v>
                </c:pt>
                <c:pt idx="92" formatCode="0.00">
                  <c:v>77.209999999999994</c:v>
                </c:pt>
                <c:pt idx="93" formatCode="0.00">
                  <c:v>77.22999999999999</c:v>
                </c:pt>
                <c:pt idx="94" formatCode="0.00">
                  <c:v>77.249999999999986</c:v>
                </c:pt>
                <c:pt idx="95" formatCode="0.00">
                  <c:v>77.269999999999982</c:v>
                </c:pt>
                <c:pt idx="96" formatCode="0.00">
                  <c:v>77.289999999999978</c:v>
                </c:pt>
                <c:pt idx="97" formatCode="0.00">
                  <c:v>77.350000000000009</c:v>
                </c:pt>
                <c:pt idx="98" formatCode="0.00">
                  <c:v>77.37</c:v>
                </c:pt>
                <c:pt idx="99" formatCode="0.00">
                  <c:v>77.39</c:v>
                </c:pt>
                <c:pt idx="100" formatCode="0.00">
                  <c:v>77.41</c:v>
                </c:pt>
                <c:pt idx="101" formatCode="0.00">
                  <c:v>77.429999999999993</c:v>
                </c:pt>
                <c:pt idx="102" formatCode="0.00">
                  <c:v>77.449999999999989</c:v>
                </c:pt>
                <c:pt idx="103" formatCode="0.00">
                  <c:v>77.469999999999985</c:v>
                </c:pt>
                <c:pt idx="104" formatCode="0.00">
                  <c:v>77.489999999999981</c:v>
                </c:pt>
                <c:pt idx="105" formatCode="0.00">
                  <c:v>77.53</c:v>
                </c:pt>
                <c:pt idx="106" formatCode="0.00">
                  <c:v>77.55</c:v>
                </c:pt>
                <c:pt idx="107" formatCode="0.00">
                  <c:v>77.569999999999993</c:v>
                </c:pt>
                <c:pt idx="108" formatCode="0.00">
                  <c:v>77.589999999999989</c:v>
                </c:pt>
                <c:pt idx="109" formatCode="0.00">
                  <c:v>77.609999999999985</c:v>
                </c:pt>
                <c:pt idx="110" formatCode="0.00">
                  <c:v>77.629999999999981</c:v>
                </c:pt>
                <c:pt idx="111" formatCode="0.00">
                  <c:v>77.649999999999977</c:v>
                </c:pt>
                <c:pt idx="112" formatCode="0.00">
                  <c:v>77.669999999999973</c:v>
                </c:pt>
                <c:pt idx="113" formatCode="0.00">
                  <c:v>77.679999999999993</c:v>
                </c:pt>
                <c:pt idx="114" formatCode="0.00">
                  <c:v>77.699999999999989</c:v>
                </c:pt>
                <c:pt idx="115" formatCode="0.00">
                  <c:v>77.719999999999985</c:v>
                </c:pt>
                <c:pt idx="116" formatCode="0.00">
                  <c:v>77.739999999999995</c:v>
                </c:pt>
                <c:pt idx="117" formatCode="0.00">
                  <c:v>77.759999999999991</c:v>
                </c:pt>
                <c:pt idx="118" formatCode="0.00">
                  <c:v>77.779999999999987</c:v>
                </c:pt>
                <c:pt idx="119" formatCode="0.00">
                  <c:v>77.799999999999983</c:v>
                </c:pt>
                <c:pt idx="120" formatCode="0.00">
                  <c:v>77.819999999999979</c:v>
                </c:pt>
                <c:pt idx="121" formatCode="0.00">
                  <c:v>77.839999999999975</c:v>
                </c:pt>
                <c:pt idx="122" formatCode="0.00">
                  <c:v>77.859999999999971</c:v>
                </c:pt>
                <c:pt idx="123" formatCode="0.00">
                  <c:v>77.89</c:v>
                </c:pt>
                <c:pt idx="124" formatCode="0.00">
                  <c:v>77.91</c:v>
                </c:pt>
                <c:pt idx="125" formatCode="0.00">
                  <c:v>77.929999999999993</c:v>
                </c:pt>
                <c:pt idx="126" formatCode="0.00">
                  <c:v>77.949999999999989</c:v>
                </c:pt>
                <c:pt idx="127" formatCode="0.00">
                  <c:v>77.969999999999985</c:v>
                </c:pt>
                <c:pt idx="128" formatCode="0.00">
                  <c:v>77.989999999999981</c:v>
                </c:pt>
                <c:pt idx="129" formatCode="0.00">
                  <c:v>78.02</c:v>
                </c:pt>
                <c:pt idx="130" formatCode="0.00">
                  <c:v>78.041428571428568</c:v>
                </c:pt>
                <c:pt idx="131" formatCode="0.00">
                  <c:v>78.062857142857141</c:v>
                </c:pt>
                <c:pt idx="132" formatCode="0.00">
                  <c:v>78.084285714285713</c:v>
                </c:pt>
                <c:pt idx="133" formatCode="0.00">
                  <c:v>78.105714285714285</c:v>
                </c:pt>
                <c:pt idx="134" formatCode="0.00">
                  <c:v>78.127142857142857</c:v>
                </c:pt>
                <c:pt idx="135" formatCode="0.00">
                  <c:v>78.148571428571429</c:v>
                </c:pt>
                <c:pt idx="136" formatCode="0.00">
                  <c:v>78.180000000000007</c:v>
                </c:pt>
                <c:pt idx="137" formatCode="0.00">
                  <c:v>78.2</c:v>
                </c:pt>
                <c:pt idx="138" formatCode="0.00">
                  <c:v>78.22</c:v>
                </c:pt>
                <c:pt idx="139" formatCode="0.00">
                  <c:v>78.239999999999995</c:v>
                </c:pt>
                <c:pt idx="140" formatCode="0.00">
                  <c:v>78.259999999999991</c:v>
                </c:pt>
                <c:pt idx="141" formatCode="0.00">
                  <c:v>78.279999999999987</c:v>
                </c:pt>
                <c:pt idx="142" formatCode="0.00">
                  <c:v>78.299999999999983</c:v>
                </c:pt>
                <c:pt idx="143" formatCode="0.00">
                  <c:v>78.350000000000009</c:v>
                </c:pt>
                <c:pt idx="144" formatCode="0.00">
                  <c:v>78.370833333333337</c:v>
                </c:pt>
                <c:pt idx="145" formatCode="0.00">
                  <c:v>78.391666666666666</c:v>
                </c:pt>
                <c:pt idx="146" formatCode="0.00">
                  <c:v>78.412499999999994</c:v>
                </c:pt>
                <c:pt idx="147" formatCode="0.00">
                  <c:v>78.433333333333323</c:v>
                </c:pt>
                <c:pt idx="148" formatCode="0.00">
                  <c:v>78.454166666666652</c:v>
                </c:pt>
                <c:pt idx="149" formatCode="0.00">
                  <c:v>78.52</c:v>
                </c:pt>
                <c:pt idx="150" formatCode="0.00">
                  <c:v>78.539999999999992</c:v>
                </c:pt>
                <c:pt idx="151" formatCode="0.00">
                  <c:v>78.559999999999988</c:v>
                </c:pt>
                <c:pt idx="152" formatCode="0.00">
                  <c:v>78.579999999999984</c:v>
                </c:pt>
                <c:pt idx="153" formatCode="0.00">
                  <c:v>78.59999999999998</c:v>
                </c:pt>
                <c:pt idx="154" formatCode="0.00">
                  <c:v>78.619999999999976</c:v>
                </c:pt>
                <c:pt idx="155" formatCode="0.00">
                  <c:v>78.66</c:v>
                </c:pt>
                <c:pt idx="156" formatCode="0.00">
                  <c:v>78.679999999999993</c:v>
                </c:pt>
                <c:pt idx="157" formatCode="0.00">
                  <c:v>78.699999999999989</c:v>
                </c:pt>
                <c:pt idx="158" formatCode="0.00">
                  <c:v>78.719999999999985</c:v>
                </c:pt>
                <c:pt idx="159" formatCode="0.00">
                  <c:v>78.739999999999981</c:v>
                </c:pt>
                <c:pt idx="160" formatCode="0.00">
                  <c:v>78.759999999999977</c:v>
                </c:pt>
                <c:pt idx="161" formatCode="0.00">
                  <c:v>78.779999999999973</c:v>
                </c:pt>
                <c:pt idx="162" formatCode="0.00">
                  <c:v>78.799999999999969</c:v>
                </c:pt>
                <c:pt idx="163" formatCode="0.00">
                  <c:v>78.83</c:v>
                </c:pt>
                <c:pt idx="164" formatCode="0.00">
                  <c:v>78.849999999999994</c:v>
                </c:pt>
                <c:pt idx="165" formatCode="0.00">
                  <c:v>78.86999999999999</c:v>
                </c:pt>
                <c:pt idx="166" formatCode="0.00">
                  <c:v>78.889999999999986</c:v>
                </c:pt>
                <c:pt idx="167" formatCode="0.00">
                  <c:v>78.909999999999982</c:v>
                </c:pt>
                <c:pt idx="168" formatCode="0.00">
                  <c:v>78.929999999999978</c:v>
                </c:pt>
                <c:pt idx="169" formatCode="0.00">
                  <c:v>78.949999999999974</c:v>
                </c:pt>
                <c:pt idx="170" formatCode="0.00">
                  <c:v>78.96999999999997</c:v>
                </c:pt>
                <c:pt idx="171" formatCode="0.00">
                  <c:v>79</c:v>
                </c:pt>
                <c:pt idx="172" formatCode="0.00">
                  <c:v>79.02</c:v>
                </c:pt>
                <c:pt idx="173" formatCode="0.00">
                  <c:v>79.039999999999992</c:v>
                </c:pt>
                <c:pt idx="174" formatCode="0.00">
                  <c:v>79.059999999999988</c:v>
                </c:pt>
                <c:pt idx="175" formatCode="0.00">
                  <c:v>79.079999999999984</c:v>
                </c:pt>
                <c:pt idx="176" formatCode="0.00">
                  <c:v>79.09999999999998</c:v>
                </c:pt>
                <c:pt idx="177" formatCode="0.00">
                  <c:v>79.119999999999976</c:v>
                </c:pt>
                <c:pt idx="178" formatCode="0.00">
                  <c:v>79.139999999999972</c:v>
                </c:pt>
                <c:pt idx="179" formatCode="0.00">
                  <c:v>79.159999999999968</c:v>
                </c:pt>
                <c:pt idx="180" formatCode="0.00">
                  <c:v>79.210000000000008</c:v>
                </c:pt>
                <c:pt idx="181" formatCode="0.00">
                  <c:v>79.23</c:v>
                </c:pt>
                <c:pt idx="182" formatCode="0.00">
                  <c:v>79.25</c:v>
                </c:pt>
                <c:pt idx="183" formatCode="0.00">
                  <c:v>79.27</c:v>
                </c:pt>
                <c:pt idx="184" formatCode="0.00">
                  <c:v>79.289999999999992</c:v>
                </c:pt>
                <c:pt idx="185" formatCode="0.00">
                  <c:v>79.309999999999988</c:v>
                </c:pt>
                <c:pt idx="186" formatCode="0.00">
                  <c:v>79.329999999999984</c:v>
                </c:pt>
                <c:pt idx="187" formatCode="0.00">
                  <c:v>79.34</c:v>
                </c:pt>
                <c:pt idx="188" formatCode="0.00">
                  <c:v>79.36</c:v>
                </c:pt>
                <c:pt idx="189" formatCode="0.00">
                  <c:v>79.38</c:v>
                </c:pt>
                <c:pt idx="190" formatCode="0.00">
                  <c:v>79.399999999999991</c:v>
                </c:pt>
                <c:pt idx="191" formatCode="0.00">
                  <c:v>79.460000000000008</c:v>
                </c:pt>
                <c:pt idx="192" formatCode="0.00">
                  <c:v>79.48</c:v>
                </c:pt>
                <c:pt idx="193" formatCode="0.00">
                  <c:v>79.5</c:v>
                </c:pt>
                <c:pt idx="194" formatCode="0.00">
                  <c:v>79.52</c:v>
                </c:pt>
                <c:pt idx="195" formatCode="0.00">
                  <c:v>79.539999999999992</c:v>
                </c:pt>
                <c:pt idx="196" formatCode="0.00">
                  <c:v>79.559999999999988</c:v>
                </c:pt>
                <c:pt idx="197" formatCode="0.00">
                  <c:v>79.579999999999984</c:v>
                </c:pt>
                <c:pt idx="198" formatCode="0.00">
                  <c:v>79.59999999999998</c:v>
                </c:pt>
                <c:pt idx="199" formatCode="0.00">
                  <c:v>79.62</c:v>
                </c:pt>
                <c:pt idx="200" formatCode="0.00">
                  <c:v>79.64</c:v>
                </c:pt>
                <c:pt idx="201" formatCode="0.00">
                  <c:v>79.66</c:v>
                </c:pt>
                <c:pt idx="202" formatCode="0.00">
                  <c:v>79.679999999999993</c:v>
                </c:pt>
                <c:pt idx="203" formatCode="0.00">
                  <c:v>79.699999999999989</c:v>
                </c:pt>
                <c:pt idx="204" formatCode="0.00">
                  <c:v>79.719999999999985</c:v>
                </c:pt>
                <c:pt idx="205" formatCode="0.00">
                  <c:v>79.739999999999981</c:v>
                </c:pt>
                <c:pt idx="206" formatCode="0.00">
                  <c:v>79.759999999999977</c:v>
                </c:pt>
                <c:pt idx="207" formatCode="0.00">
                  <c:v>79.8</c:v>
                </c:pt>
                <c:pt idx="208" formatCode="0.00">
                  <c:v>79.819999999999993</c:v>
                </c:pt>
                <c:pt idx="209" formatCode="0.00">
                  <c:v>79.839999999999989</c:v>
                </c:pt>
                <c:pt idx="210" formatCode="0.00">
                  <c:v>79.859999999999985</c:v>
                </c:pt>
                <c:pt idx="211" formatCode="0.00">
                  <c:v>79.879999999999981</c:v>
                </c:pt>
                <c:pt idx="212" formatCode="0.00">
                  <c:v>79.899999999999977</c:v>
                </c:pt>
                <c:pt idx="213" formatCode="0.00">
                  <c:v>79.919999999999973</c:v>
                </c:pt>
                <c:pt idx="214" formatCode="0.00">
                  <c:v>79.939999999999969</c:v>
                </c:pt>
                <c:pt idx="215" formatCode="0.00">
                  <c:v>79.959999999999965</c:v>
                </c:pt>
                <c:pt idx="216" formatCode="0.00">
                  <c:v>79.979999999999961</c:v>
                </c:pt>
                <c:pt idx="217">
                  <c:v>80.399999999999991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0-4B38-BF2A-0D42021D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27800096"/>
        <c:axId val="-1527802816"/>
      </c:scatterChart>
      <c:valAx>
        <c:axId val="-1527800096"/>
        <c:scaling>
          <c:orientation val="minMax"/>
          <c:max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802816"/>
        <c:crosses val="autoZero"/>
        <c:crossBetween val="midCat"/>
      </c:valAx>
      <c:valAx>
        <c:axId val="-1527802816"/>
        <c:scaling>
          <c:orientation val="maxMin"/>
          <c:max val="80.5"/>
          <c:min val="7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800096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NRM35/kappa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Лист1!$BV$6:$BV$218</c:f>
              <c:numCache>
                <c:formatCode>0.00</c:formatCode>
                <c:ptCount val="213"/>
                <c:pt idx="0">
                  <c:v>6.3111741319766264</c:v>
                </c:pt>
                <c:pt idx="1">
                  <c:v>4.5827220606278924</c:v>
                </c:pt>
                <c:pt idx="2">
                  <c:v>5.0064301239925726</c:v>
                </c:pt>
                <c:pt idx="3">
                  <c:v>3.3032885240596226</c:v>
                </c:pt>
                <c:pt idx="4">
                  <c:v>6.9140458828063345</c:v>
                </c:pt>
                <c:pt idx="5">
                  <c:v>7.1164631281207935</c:v>
                </c:pt>
                <c:pt idx="6">
                  <c:v>5.6667236589701844</c:v>
                </c:pt>
                <c:pt idx="7">
                  <c:v>5.9854790517544165</c:v>
                </c:pt>
                <c:pt idx="8">
                  <c:v>6.7959305700772612</c:v>
                </c:pt>
                <c:pt idx="9">
                  <c:v>6.0606723829943023</c:v>
                </c:pt>
                <c:pt idx="10">
                  <c:v>5.2361655970468819</c:v>
                </c:pt>
                <c:pt idx="11">
                  <c:v>4.1188152396129603</c:v>
                </c:pt>
                <c:pt idx="12">
                  <c:v>2.0268148863961302</c:v>
                </c:pt>
                <c:pt idx="13">
                  <c:v>2.4846721751586793</c:v>
                </c:pt>
                <c:pt idx="14">
                  <c:v>3.2818804732919298</c:v>
                </c:pt>
                <c:pt idx="15">
                  <c:v>1.9147620561498024</c:v>
                </c:pt>
                <c:pt idx="16">
                  <c:v>4.2053144001048652</c:v>
                </c:pt>
                <c:pt idx="17">
                  <c:v>4.2637114274600281</c:v>
                </c:pt>
                <c:pt idx="18">
                  <c:v>3.3965846190582125</c:v>
                </c:pt>
                <c:pt idx="20">
                  <c:v>3.3833767779682882</c:v>
                </c:pt>
                <c:pt idx="21">
                  <c:v>3.3536598136568982</c:v>
                </c:pt>
                <c:pt idx="22">
                  <c:v>1.1154136479463288</c:v>
                </c:pt>
                <c:pt idx="23">
                  <c:v>4.4442307732404194</c:v>
                </c:pt>
                <c:pt idx="24">
                  <c:v>3.015836495486099</c:v>
                </c:pt>
                <c:pt idx="25">
                  <c:v>3.2999497739383425</c:v>
                </c:pt>
                <c:pt idx="26">
                  <c:v>3.6050542362330589</c:v>
                </c:pt>
                <c:pt idx="27">
                  <c:v>3.6918316693144066</c:v>
                </c:pt>
                <c:pt idx="28">
                  <c:v>1.9886734957565049</c:v>
                </c:pt>
                <c:pt idx="29">
                  <c:v>2.5142566523301952</c:v>
                </c:pt>
                <c:pt idx="30">
                  <c:v>0.90513046667149799</c:v>
                </c:pt>
                <c:pt idx="31">
                  <c:v>0.65159694010356584</c:v>
                </c:pt>
                <c:pt idx="32">
                  <c:v>1.556312315770106</c:v>
                </c:pt>
                <c:pt idx="33">
                  <c:v>1.1967894441829392</c:v>
                </c:pt>
                <c:pt idx="34">
                  <c:v>1.5196416455654198</c:v>
                </c:pt>
                <c:pt idx="35">
                  <c:v>3.1222370662722669</c:v>
                </c:pt>
                <c:pt idx="36">
                  <c:v>2.1555495908712445</c:v>
                </c:pt>
                <c:pt idx="37">
                  <c:v>1.3067995103652741</c:v>
                </c:pt>
                <c:pt idx="38">
                  <c:v>1.0392979559128857</c:v>
                </c:pt>
                <c:pt idx="39">
                  <c:v>2.4579373148868608</c:v>
                </c:pt>
                <c:pt idx="40">
                  <c:v>1.7856108281832059</c:v>
                </c:pt>
                <c:pt idx="41">
                  <c:v>2.3656601219122595</c:v>
                </c:pt>
                <c:pt idx="42">
                  <c:v>1.1243131178100818</c:v>
                </c:pt>
                <c:pt idx="43">
                  <c:v>2.0717747444610524</c:v>
                </c:pt>
                <c:pt idx="44">
                  <c:v>3.5295843635934574</c:v>
                </c:pt>
                <c:pt idx="45">
                  <c:v>2.5146695545256534</c:v>
                </c:pt>
                <c:pt idx="46">
                  <c:v>2.1345498805607308</c:v>
                </c:pt>
                <c:pt idx="47">
                  <c:v>2.6482236141803135</c:v>
                </c:pt>
                <c:pt idx="48">
                  <c:v>3.3117025908065152</c:v>
                </c:pt>
                <c:pt idx="49">
                  <c:v>1.9628862588198863</c:v>
                </c:pt>
                <c:pt idx="50">
                  <c:v>3.0536704533402887</c:v>
                </c:pt>
                <c:pt idx="51">
                  <c:v>3.6673813180311754</c:v>
                </c:pt>
                <c:pt idx="52">
                  <c:v>3.2040097694549488</c:v>
                </c:pt>
                <c:pt idx="53">
                  <c:v>4.2054892790310019</c:v>
                </c:pt>
                <c:pt idx="54">
                  <c:v>5.7334165699853532</c:v>
                </c:pt>
                <c:pt idx="55">
                  <c:v>9.8364213874008701</c:v>
                </c:pt>
                <c:pt idx="56">
                  <c:v>3.7106322078330929</c:v>
                </c:pt>
                <c:pt idx="57">
                  <c:v>4.186292639022593</c:v>
                </c:pt>
                <c:pt idx="58">
                  <c:v>2.0643694268590385</c:v>
                </c:pt>
                <c:pt idx="59">
                  <c:v>3.7182220371587338</c:v>
                </c:pt>
                <c:pt idx="60">
                  <c:v>3.7902266091599039</c:v>
                </c:pt>
                <c:pt idx="61">
                  <c:v>4.8571250893477451</c:v>
                </c:pt>
                <c:pt idx="62">
                  <c:v>4.0526272761233866</c:v>
                </c:pt>
                <c:pt idx="63">
                  <c:v>2.0375620434445825</c:v>
                </c:pt>
                <c:pt idx="64">
                  <c:v>1.72710331422543</c:v>
                </c:pt>
                <c:pt idx="65">
                  <c:v>1.2909884884674956</c:v>
                </c:pt>
                <c:pt idx="66">
                  <c:v>2.311485005036269</c:v>
                </c:pt>
                <c:pt idx="67">
                  <c:v>2.4926129334142426</c:v>
                </c:pt>
                <c:pt idx="68">
                  <c:v>1.9150946617588387</c:v>
                </c:pt>
                <c:pt idx="69">
                  <c:v>3.3027896827708365</c:v>
                </c:pt>
                <c:pt idx="70">
                  <c:v>5.9363420579394823</c:v>
                </c:pt>
                <c:pt idx="71">
                  <c:v>2.5095797827435589</c:v>
                </c:pt>
                <c:pt idx="72">
                  <c:v>2.5155076312113631</c:v>
                </c:pt>
                <c:pt idx="73">
                  <c:v>2.6541457768962293</c:v>
                </c:pt>
                <c:pt idx="74">
                  <c:v>2.8961253285972961</c:v>
                </c:pt>
                <c:pt idx="75">
                  <c:v>2.2292876075419712</c:v>
                </c:pt>
                <c:pt idx="76">
                  <c:v>2.7819768520805983</c:v>
                </c:pt>
                <c:pt idx="77">
                  <c:v>3.6386528468719517</c:v>
                </c:pt>
                <c:pt idx="78">
                  <c:v>3.3435328424794397</c:v>
                </c:pt>
                <c:pt idx="79">
                  <c:v>4.0296076645685019</c:v>
                </c:pt>
                <c:pt idx="80">
                  <c:v>0.61900778936972145</c:v>
                </c:pt>
                <c:pt idx="81">
                  <c:v>2.2664173911179368</c:v>
                </c:pt>
                <c:pt idx="82">
                  <c:v>2.8291618230396507</c:v>
                </c:pt>
                <c:pt idx="83">
                  <c:v>3.2545030089590865</c:v>
                </c:pt>
                <c:pt idx="84">
                  <c:v>7.3346231778791209</c:v>
                </c:pt>
                <c:pt idx="85">
                  <c:v>6.4353561591795838</c:v>
                </c:pt>
                <c:pt idx="86">
                  <c:v>4.2183026371885077</c:v>
                </c:pt>
                <c:pt idx="87">
                  <c:v>4.6368120893403191</c:v>
                </c:pt>
                <c:pt idx="88">
                  <c:v>4.1966356053137908</c:v>
                </c:pt>
                <c:pt idx="89">
                  <c:v>6.9433486850924035</c:v>
                </c:pt>
                <c:pt idx="90">
                  <c:v>6.7505815121134969</c:v>
                </c:pt>
                <c:pt idx="91">
                  <c:v>8.1989395974261914</c:v>
                </c:pt>
                <c:pt idx="92">
                  <c:v>1.9464713097509543</c:v>
                </c:pt>
                <c:pt idx="93">
                  <c:v>3.3571322185831494</c:v>
                </c:pt>
                <c:pt idx="94">
                  <c:v>4.4720204600578013</c:v>
                </c:pt>
                <c:pt idx="95">
                  <c:v>4.7252609018540959</c:v>
                </c:pt>
                <c:pt idx="96">
                  <c:v>2.7432748871909873</c:v>
                </c:pt>
                <c:pt idx="97">
                  <c:v>1.5108737406113297</c:v>
                </c:pt>
                <c:pt idx="98">
                  <c:v>4.1440242933190889</c:v>
                </c:pt>
                <c:pt idx="99">
                  <c:v>7.0046792564557174</c:v>
                </c:pt>
                <c:pt idx="100">
                  <c:v>6.9479312974453249</c:v>
                </c:pt>
                <c:pt idx="101">
                  <c:v>2.4933744713923174</c:v>
                </c:pt>
                <c:pt idx="102">
                  <c:v>2.8681593293305085</c:v>
                </c:pt>
                <c:pt idx="103">
                  <c:v>1.3075320832464328</c:v>
                </c:pt>
                <c:pt idx="104">
                  <c:v>2.2028878757524586</c:v>
                </c:pt>
                <c:pt idx="105">
                  <c:v>2.9069029721281283</c:v>
                </c:pt>
                <c:pt idx="106">
                  <c:v>5.2290664955107768</c:v>
                </c:pt>
                <c:pt idx="107">
                  <c:v>3.4396910339171276</c:v>
                </c:pt>
                <c:pt idx="108">
                  <c:v>10.886296846591527</c:v>
                </c:pt>
                <c:pt idx="109">
                  <c:v>12.542754183622391</c:v>
                </c:pt>
                <c:pt idx="110">
                  <c:v>14.234156500166916</c:v>
                </c:pt>
                <c:pt idx="111">
                  <c:v>8.6963724892639185</c:v>
                </c:pt>
                <c:pt idx="112">
                  <c:v>15.528455777365853</c:v>
                </c:pt>
                <c:pt idx="113">
                  <c:v>7.8386648943946744</c:v>
                </c:pt>
                <c:pt idx="114">
                  <c:v>2.3277822642598194</c:v>
                </c:pt>
                <c:pt idx="115">
                  <c:v>3.021248003002297</c:v>
                </c:pt>
                <c:pt idx="116">
                  <c:v>5.7787207632544284</c:v>
                </c:pt>
                <c:pt idx="117">
                  <c:v>3.7336286310062041</c:v>
                </c:pt>
                <c:pt idx="118">
                  <c:v>5.3832132578619456</c:v>
                </c:pt>
                <c:pt idx="119">
                  <c:v>3.389240598803934</c:v>
                </c:pt>
                <c:pt idx="120">
                  <c:v>2.9025150689148242</c:v>
                </c:pt>
                <c:pt idx="121">
                  <c:v>9.3310356390274567</c:v>
                </c:pt>
                <c:pt idx="122">
                  <c:v>6.4916281633195112</c:v>
                </c:pt>
                <c:pt idx="123">
                  <c:v>6.7762134479991358</c:v>
                </c:pt>
                <c:pt idx="124">
                  <c:v>7.4999541515594892</c:v>
                </c:pt>
                <c:pt idx="125">
                  <c:v>6.3667794165059659</c:v>
                </c:pt>
                <c:pt idx="126">
                  <c:v>5.2474552543314923</c:v>
                </c:pt>
                <c:pt idx="127">
                  <c:v>6.3765125156821982</c:v>
                </c:pt>
                <c:pt idx="128">
                  <c:v>6.5961040696647641</c:v>
                </c:pt>
                <c:pt idx="129">
                  <c:v>11.103498411630303</c:v>
                </c:pt>
                <c:pt idx="130">
                  <c:v>6.3045443618029182</c:v>
                </c:pt>
                <c:pt idx="131">
                  <c:v>2.1662618102813216</c:v>
                </c:pt>
                <c:pt idx="132">
                  <c:v>7.4840305232267559</c:v>
                </c:pt>
                <c:pt idx="133">
                  <c:v>6.4665068801837489</c:v>
                </c:pt>
                <c:pt idx="134">
                  <c:v>7.9533598954215314</c:v>
                </c:pt>
                <c:pt idx="135">
                  <c:v>5.2791423127889381</c:v>
                </c:pt>
                <c:pt idx="136">
                  <c:v>6.3925118709243245</c:v>
                </c:pt>
                <c:pt idx="137">
                  <c:v>5.2729885910581009</c:v>
                </c:pt>
                <c:pt idx="138">
                  <c:v>6.4754318588764033</c:v>
                </c:pt>
                <c:pt idx="139">
                  <c:v>8.8808542522111278</c:v>
                </c:pt>
                <c:pt idx="140">
                  <c:v>6.6179310924214763</c:v>
                </c:pt>
                <c:pt idx="141">
                  <c:v>10.205070305751764</c:v>
                </c:pt>
                <c:pt idx="142">
                  <c:v>7.028681853444378</c:v>
                </c:pt>
                <c:pt idx="143">
                  <c:v>10.113596756530242</c:v>
                </c:pt>
                <c:pt idx="144">
                  <c:v>7.5416081387944924</c:v>
                </c:pt>
                <c:pt idx="145">
                  <c:v>6.3950745577883756</c:v>
                </c:pt>
                <c:pt idx="146">
                  <c:v>8.0781902161532742</c:v>
                </c:pt>
                <c:pt idx="148">
                  <c:v>11.025309881534598</c:v>
                </c:pt>
                <c:pt idx="149">
                  <c:v>10.160505251345452</c:v>
                </c:pt>
                <c:pt idx="150">
                  <c:v>6.3169471954552332</c:v>
                </c:pt>
                <c:pt idx="151">
                  <c:v>6.3724960882929125</c:v>
                </c:pt>
                <c:pt idx="152">
                  <c:v>8.9979231988552169</c:v>
                </c:pt>
                <c:pt idx="153">
                  <c:v>7.2905790530104984</c:v>
                </c:pt>
                <c:pt idx="154">
                  <c:v>11.994790999856869</c:v>
                </c:pt>
                <c:pt idx="155">
                  <c:v>8.6147373479483331</c:v>
                </c:pt>
                <c:pt idx="156">
                  <c:v>8.0961506612598217</c:v>
                </c:pt>
                <c:pt idx="157">
                  <c:v>7.8991655331520372</c:v>
                </c:pt>
                <c:pt idx="158">
                  <c:v>15.82351472017818</c:v>
                </c:pt>
                <c:pt idx="159">
                  <c:v>9.0789500364515074</c:v>
                </c:pt>
                <c:pt idx="160">
                  <c:v>8.3459131853516642</c:v>
                </c:pt>
                <c:pt idx="161">
                  <c:v>7.9355836561782906</c:v>
                </c:pt>
                <c:pt idx="162">
                  <c:v>9.1182446950308869</c:v>
                </c:pt>
                <c:pt idx="163">
                  <c:v>10.477884161755426</c:v>
                </c:pt>
                <c:pt idx="164">
                  <c:v>7.97756883103595</c:v>
                </c:pt>
                <c:pt idx="165">
                  <c:v>7.7910271137598714</c:v>
                </c:pt>
                <c:pt idx="166">
                  <c:v>9.5153746363214999</c:v>
                </c:pt>
                <c:pt idx="167">
                  <c:v>13.512391705642862</c:v>
                </c:pt>
                <c:pt idx="168">
                  <c:v>9.8410626155255532</c:v>
                </c:pt>
                <c:pt idx="169">
                  <c:v>9.3924301101093004</c:v>
                </c:pt>
                <c:pt idx="170">
                  <c:v>10.370512967119648</c:v>
                </c:pt>
                <c:pt idx="171">
                  <c:v>8.9379777773177409</c:v>
                </c:pt>
                <c:pt idx="172">
                  <c:v>11.077713442893547</c:v>
                </c:pt>
                <c:pt idx="173">
                  <c:v>11.196801580241086</c:v>
                </c:pt>
                <c:pt idx="174">
                  <c:v>10.613668265508045</c:v>
                </c:pt>
                <c:pt idx="175">
                  <c:v>11.026183239202869</c:v>
                </c:pt>
                <c:pt idx="176">
                  <c:v>11.914395669952036</c:v>
                </c:pt>
                <c:pt idx="177">
                  <c:v>13.348920310409387</c:v>
                </c:pt>
                <c:pt idx="178">
                  <c:v>10.420198255446884</c:v>
                </c:pt>
                <c:pt idx="179">
                  <c:v>9.391110835678985</c:v>
                </c:pt>
                <c:pt idx="180">
                  <c:v>8.18163402662233</c:v>
                </c:pt>
                <c:pt idx="181">
                  <c:v>10.093520474578053</c:v>
                </c:pt>
                <c:pt idx="182">
                  <c:v>15.093653070499828</c:v>
                </c:pt>
                <c:pt idx="183">
                  <c:v>7.8265389634210196</c:v>
                </c:pt>
                <c:pt idx="184">
                  <c:v>6.3773310881778213</c:v>
                </c:pt>
                <c:pt idx="185">
                  <c:v>6.8722571002184232</c:v>
                </c:pt>
                <c:pt idx="186">
                  <c:v>5.0430148164940256</c:v>
                </c:pt>
                <c:pt idx="187">
                  <c:v>5.9505774339953863</c:v>
                </c:pt>
                <c:pt idx="188">
                  <c:v>6.6573804831492076</c:v>
                </c:pt>
                <c:pt idx="189">
                  <c:v>5.3799613248744738</c:v>
                </c:pt>
                <c:pt idx="190">
                  <c:v>5.6588249379844058</c:v>
                </c:pt>
                <c:pt idx="191">
                  <c:v>5.1076077936299544</c:v>
                </c:pt>
                <c:pt idx="192">
                  <c:v>7.7456994526818868</c:v>
                </c:pt>
                <c:pt idx="193">
                  <c:v>4.5292281421369234</c:v>
                </c:pt>
                <c:pt idx="194">
                  <c:v>5.7562782498492124</c:v>
                </c:pt>
                <c:pt idx="195">
                  <c:v>6.3145186964528843</c:v>
                </c:pt>
                <c:pt idx="196">
                  <c:v>5.7145540227604572</c:v>
                </c:pt>
                <c:pt idx="197">
                  <c:v>3.591424341646956</c:v>
                </c:pt>
                <c:pt idx="198">
                  <c:v>4.404345256667475</c:v>
                </c:pt>
                <c:pt idx="199">
                  <c:v>4.3576322033425221</c:v>
                </c:pt>
                <c:pt idx="200">
                  <c:v>6.8787469107065533</c:v>
                </c:pt>
                <c:pt idx="201">
                  <c:v>4.8831668854462498</c:v>
                </c:pt>
                <c:pt idx="202">
                  <c:v>2.7790314238668423</c:v>
                </c:pt>
                <c:pt idx="203">
                  <c:v>2.5763768411586363</c:v>
                </c:pt>
                <c:pt idx="204">
                  <c:v>3.957766910837917</c:v>
                </c:pt>
                <c:pt idx="205">
                  <c:v>3.4267183601485365</c:v>
                </c:pt>
                <c:pt idx="206">
                  <c:v>4.1212225155144599</c:v>
                </c:pt>
                <c:pt idx="207">
                  <c:v>4.1962155499708329</c:v>
                </c:pt>
                <c:pt idx="208">
                  <c:v>2.3555498297538295</c:v>
                </c:pt>
                <c:pt idx="209">
                  <c:v>9.1112400541513914</c:v>
                </c:pt>
                <c:pt idx="210">
                  <c:v>7.578267281596677</c:v>
                </c:pt>
                <c:pt idx="211">
                  <c:v>6.282685689215441</c:v>
                </c:pt>
                <c:pt idx="212">
                  <c:v>2.6785576573698102</c:v>
                </c:pt>
              </c:numCache>
            </c:numRef>
          </c:xVal>
          <c:yVal>
            <c:numRef>
              <c:f>Лист1!$BQ$6:$BQ$218</c:f>
              <c:numCache>
                <c:formatCode>0.00</c:formatCode>
                <c:ptCount val="213"/>
                <c:pt idx="0">
                  <c:v>74.73</c:v>
                </c:pt>
                <c:pt idx="1">
                  <c:v>74.750714285714295</c:v>
                </c:pt>
                <c:pt idx="2">
                  <c:v>74.771428571428586</c:v>
                </c:pt>
                <c:pt idx="3">
                  <c:v>74.792142857142878</c:v>
                </c:pt>
                <c:pt idx="4">
                  <c:v>74.812857142857169</c:v>
                </c:pt>
                <c:pt idx="5">
                  <c:v>74.83357142857146</c:v>
                </c:pt>
                <c:pt idx="6">
                  <c:v>74.854285714285751</c:v>
                </c:pt>
                <c:pt idx="7">
                  <c:v>74.88</c:v>
                </c:pt>
                <c:pt idx="8">
                  <c:v>74.901666666666657</c:v>
                </c:pt>
                <c:pt idx="9">
                  <c:v>74.923333333333318</c:v>
                </c:pt>
                <c:pt idx="10">
                  <c:v>74.944999999999979</c:v>
                </c:pt>
                <c:pt idx="11">
                  <c:v>74.96666666666664</c:v>
                </c:pt>
                <c:pt idx="12">
                  <c:v>74.988333333333301</c:v>
                </c:pt>
                <c:pt idx="13">
                  <c:v>75.069999999999993</c:v>
                </c:pt>
                <c:pt idx="14">
                  <c:v>75.089999999999989</c:v>
                </c:pt>
                <c:pt idx="15">
                  <c:v>75.109999999999985</c:v>
                </c:pt>
                <c:pt idx="16">
                  <c:v>75.129999999999981</c:v>
                </c:pt>
                <c:pt idx="17">
                  <c:v>75.149999999999977</c:v>
                </c:pt>
                <c:pt idx="18">
                  <c:v>75.169999999999973</c:v>
                </c:pt>
                <c:pt idx="20">
                  <c:v>75.734999999999999</c:v>
                </c:pt>
                <c:pt idx="21">
                  <c:v>75.754999999999995</c:v>
                </c:pt>
                <c:pt idx="22">
                  <c:v>75.774999999999991</c:v>
                </c:pt>
                <c:pt idx="23">
                  <c:v>75.794999999999987</c:v>
                </c:pt>
                <c:pt idx="24">
                  <c:v>75.814999999999984</c:v>
                </c:pt>
                <c:pt idx="25">
                  <c:v>75.83499999999998</c:v>
                </c:pt>
                <c:pt idx="26">
                  <c:v>75.854999999999976</c:v>
                </c:pt>
                <c:pt idx="27">
                  <c:v>75.874999999999972</c:v>
                </c:pt>
                <c:pt idx="28">
                  <c:v>75.91</c:v>
                </c:pt>
                <c:pt idx="29">
                  <c:v>75.929999999999993</c:v>
                </c:pt>
                <c:pt idx="30">
                  <c:v>75.949999999999989</c:v>
                </c:pt>
                <c:pt idx="31">
                  <c:v>75.969999999999985</c:v>
                </c:pt>
                <c:pt idx="32">
                  <c:v>75.989999999999981</c:v>
                </c:pt>
                <c:pt idx="33">
                  <c:v>76.009999999999977</c:v>
                </c:pt>
                <c:pt idx="34">
                  <c:v>76.029999999999973</c:v>
                </c:pt>
                <c:pt idx="35">
                  <c:v>76.049999999999969</c:v>
                </c:pt>
                <c:pt idx="36">
                  <c:v>76.069999999999965</c:v>
                </c:pt>
                <c:pt idx="37">
                  <c:v>76.089999999999961</c:v>
                </c:pt>
                <c:pt idx="38">
                  <c:v>76.11</c:v>
                </c:pt>
                <c:pt idx="39">
                  <c:v>76.13</c:v>
                </c:pt>
                <c:pt idx="40">
                  <c:v>76.149999999999991</c:v>
                </c:pt>
                <c:pt idx="41">
                  <c:v>76.169999999999987</c:v>
                </c:pt>
                <c:pt idx="42">
                  <c:v>76.189999999999984</c:v>
                </c:pt>
                <c:pt idx="43">
                  <c:v>76.20999999999998</c:v>
                </c:pt>
                <c:pt idx="44">
                  <c:v>76.240000000000009</c:v>
                </c:pt>
                <c:pt idx="45">
                  <c:v>76.260000000000005</c:v>
                </c:pt>
                <c:pt idx="46">
                  <c:v>76.28</c:v>
                </c:pt>
                <c:pt idx="47">
                  <c:v>76.320000000000007</c:v>
                </c:pt>
                <c:pt idx="48">
                  <c:v>76.34</c:v>
                </c:pt>
                <c:pt idx="49">
                  <c:v>76.36</c:v>
                </c:pt>
                <c:pt idx="50">
                  <c:v>76.38</c:v>
                </c:pt>
                <c:pt idx="51">
                  <c:v>76.399999999999991</c:v>
                </c:pt>
                <c:pt idx="52">
                  <c:v>76.419999999999987</c:v>
                </c:pt>
                <c:pt idx="53">
                  <c:v>76.460000000000008</c:v>
                </c:pt>
                <c:pt idx="54">
                  <c:v>76.48</c:v>
                </c:pt>
                <c:pt idx="55">
                  <c:v>76.5</c:v>
                </c:pt>
                <c:pt idx="56">
                  <c:v>76.52</c:v>
                </c:pt>
                <c:pt idx="57">
                  <c:v>76.539999999999992</c:v>
                </c:pt>
                <c:pt idx="58">
                  <c:v>76.58</c:v>
                </c:pt>
                <c:pt idx="59">
                  <c:v>76.600454545454539</c:v>
                </c:pt>
                <c:pt idx="60">
                  <c:v>76.62090909090908</c:v>
                </c:pt>
                <c:pt idx="61">
                  <c:v>76.641363636363621</c:v>
                </c:pt>
                <c:pt idx="62">
                  <c:v>76.661818181818163</c:v>
                </c:pt>
                <c:pt idx="63">
                  <c:v>76.682272727272704</c:v>
                </c:pt>
                <c:pt idx="64">
                  <c:v>76.702727272727245</c:v>
                </c:pt>
                <c:pt idx="65">
                  <c:v>76.723181818181786</c:v>
                </c:pt>
                <c:pt idx="66">
                  <c:v>76.743636363636327</c:v>
                </c:pt>
                <c:pt idx="67">
                  <c:v>76.764090909090868</c:v>
                </c:pt>
                <c:pt idx="68">
                  <c:v>76.784545454545409</c:v>
                </c:pt>
                <c:pt idx="69">
                  <c:v>76.83</c:v>
                </c:pt>
                <c:pt idx="70">
                  <c:v>76.849999999999994</c:v>
                </c:pt>
                <c:pt idx="71">
                  <c:v>76.86999999999999</c:v>
                </c:pt>
                <c:pt idx="72">
                  <c:v>76.889999999999986</c:v>
                </c:pt>
                <c:pt idx="73">
                  <c:v>76.909999999999982</c:v>
                </c:pt>
                <c:pt idx="74">
                  <c:v>76.929999999999978</c:v>
                </c:pt>
                <c:pt idx="75">
                  <c:v>76.949999999999974</c:v>
                </c:pt>
                <c:pt idx="76">
                  <c:v>76.97</c:v>
                </c:pt>
                <c:pt idx="77">
                  <c:v>76.989999999999995</c:v>
                </c:pt>
                <c:pt idx="78">
                  <c:v>77.009999999999991</c:v>
                </c:pt>
                <c:pt idx="79">
                  <c:v>77.029999999999987</c:v>
                </c:pt>
                <c:pt idx="80">
                  <c:v>77.049999999999983</c:v>
                </c:pt>
                <c:pt idx="81">
                  <c:v>77.070000000000007</c:v>
                </c:pt>
                <c:pt idx="82">
                  <c:v>77.09</c:v>
                </c:pt>
                <c:pt idx="83">
                  <c:v>77.11</c:v>
                </c:pt>
                <c:pt idx="84">
                  <c:v>77.13</c:v>
                </c:pt>
                <c:pt idx="85">
                  <c:v>77.149999999999991</c:v>
                </c:pt>
                <c:pt idx="86">
                  <c:v>77.17</c:v>
                </c:pt>
                <c:pt idx="87">
                  <c:v>77.19</c:v>
                </c:pt>
                <c:pt idx="88">
                  <c:v>77.209999999999994</c:v>
                </c:pt>
                <c:pt idx="89">
                  <c:v>77.22999999999999</c:v>
                </c:pt>
                <c:pt idx="90">
                  <c:v>77.249999999999986</c:v>
                </c:pt>
                <c:pt idx="91">
                  <c:v>77.269999999999982</c:v>
                </c:pt>
                <c:pt idx="92">
                  <c:v>77.289999999999978</c:v>
                </c:pt>
                <c:pt idx="93">
                  <c:v>77.350000000000009</c:v>
                </c:pt>
                <c:pt idx="94">
                  <c:v>77.37</c:v>
                </c:pt>
                <c:pt idx="95">
                  <c:v>77.39</c:v>
                </c:pt>
                <c:pt idx="96">
                  <c:v>77.41</c:v>
                </c:pt>
                <c:pt idx="97">
                  <c:v>77.429999999999993</c:v>
                </c:pt>
                <c:pt idx="98">
                  <c:v>77.449999999999989</c:v>
                </c:pt>
                <c:pt idx="99">
                  <c:v>77.469999999999985</c:v>
                </c:pt>
                <c:pt idx="100">
                  <c:v>77.489999999999981</c:v>
                </c:pt>
                <c:pt idx="101">
                  <c:v>77.53</c:v>
                </c:pt>
                <c:pt idx="102">
                  <c:v>77.55</c:v>
                </c:pt>
                <c:pt idx="103">
                  <c:v>77.569999999999993</c:v>
                </c:pt>
                <c:pt idx="104">
                  <c:v>77.589999999999989</c:v>
                </c:pt>
                <c:pt idx="105">
                  <c:v>77.609999999999985</c:v>
                </c:pt>
                <c:pt idx="106">
                  <c:v>77.629999999999981</c:v>
                </c:pt>
                <c:pt idx="107">
                  <c:v>77.649999999999977</c:v>
                </c:pt>
                <c:pt idx="108">
                  <c:v>77.669999999999973</c:v>
                </c:pt>
                <c:pt idx="109">
                  <c:v>77.679999999999993</c:v>
                </c:pt>
                <c:pt idx="110">
                  <c:v>77.699999999999989</c:v>
                </c:pt>
                <c:pt idx="111">
                  <c:v>77.719999999999985</c:v>
                </c:pt>
                <c:pt idx="112">
                  <c:v>77.739999999999995</c:v>
                </c:pt>
                <c:pt idx="113">
                  <c:v>77.759999999999991</c:v>
                </c:pt>
                <c:pt idx="114">
                  <c:v>77.779999999999987</c:v>
                </c:pt>
                <c:pt idx="115">
                  <c:v>77.799999999999983</c:v>
                </c:pt>
                <c:pt idx="116">
                  <c:v>77.819999999999979</c:v>
                </c:pt>
                <c:pt idx="117">
                  <c:v>77.839999999999975</c:v>
                </c:pt>
                <c:pt idx="118">
                  <c:v>77.859999999999971</c:v>
                </c:pt>
                <c:pt idx="119">
                  <c:v>77.89</c:v>
                </c:pt>
                <c:pt idx="120">
                  <c:v>77.91</c:v>
                </c:pt>
                <c:pt idx="121">
                  <c:v>77.929999999999993</c:v>
                </c:pt>
                <c:pt idx="122">
                  <c:v>77.949999999999989</c:v>
                </c:pt>
                <c:pt idx="123">
                  <c:v>77.969999999999985</c:v>
                </c:pt>
                <c:pt idx="124">
                  <c:v>77.989999999999981</c:v>
                </c:pt>
                <c:pt idx="125">
                  <c:v>78.02</c:v>
                </c:pt>
                <c:pt idx="126">
                  <c:v>78.041428571428568</c:v>
                </c:pt>
                <c:pt idx="127">
                  <c:v>78.062857142857141</c:v>
                </c:pt>
                <c:pt idx="128">
                  <c:v>78.084285714285713</c:v>
                </c:pt>
                <c:pt idx="129">
                  <c:v>78.105714285714285</c:v>
                </c:pt>
                <c:pt idx="130">
                  <c:v>78.127142857142857</c:v>
                </c:pt>
                <c:pt idx="131">
                  <c:v>78.148571428571429</c:v>
                </c:pt>
                <c:pt idx="132">
                  <c:v>78.180000000000007</c:v>
                </c:pt>
                <c:pt idx="133">
                  <c:v>78.2</c:v>
                </c:pt>
                <c:pt idx="134">
                  <c:v>78.22</c:v>
                </c:pt>
                <c:pt idx="135">
                  <c:v>78.239999999999995</c:v>
                </c:pt>
                <c:pt idx="136">
                  <c:v>78.259999999999991</c:v>
                </c:pt>
                <c:pt idx="137">
                  <c:v>78.279999999999987</c:v>
                </c:pt>
                <c:pt idx="138">
                  <c:v>78.299999999999983</c:v>
                </c:pt>
                <c:pt idx="139">
                  <c:v>78.350000000000009</c:v>
                </c:pt>
                <c:pt idx="140">
                  <c:v>78.370833333333337</c:v>
                </c:pt>
                <c:pt idx="141">
                  <c:v>78.391666666666666</c:v>
                </c:pt>
                <c:pt idx="142">
                  <c:v>78.412499999999994</c:v>
                </c:pt>
                <c:pt idx="143">
                  <c:v>78.433333333333323</c:v>
                </c:pt>
                <c:pt idx="144">
                  <c:v>78.454166666666652</c:v>
                </c:pt>
                <c:pt idx="145">
                  <c:v>78.52</c:v>
                </c:pt>
                <c:pt idx="146">
                  <c:v>78.539999999999992</c:v>
                </c:pt>
                <c:pt idx="147">
                  <c:v>78.559999999999988</c:v>
                </c:pt>
                <c:pt idx="148">
                  <c:v>78.579999999999984</c:v>
                </c:pt>
                <c:pt idx="149">
                  <c:v>78.59999999999998</c:v>
                </c:pt>
                <c:pt idx="150">
                  <c:v>78.619999999999976</c:v>
                </c:pt>
                <c:pt idx="151">
                  <c:v>78.66</c:v>
                </c:pt>
                <c:pt idx="152">
                  <c:v>78.679999999999993</c:v>
                </c:pt>
                <c:pt idx="153">
                  <c:v>78.699999999999989</c:v>
                </c:pt>
                <c:pt idx="154">
                  <c:v>78.719999999999985</c:v>
                </c:pt>
                <c:pt idx="155">
                  <c:v>78.739999999999981</c:v>
                </c:pt>
                <c:pt idx="156">
                  <c:v>78.759999999999977</c:v>
                </c:pt>
                <c:pt idx="157">
                  <c:v>78.779999999999973</c:v>
                </c:pt>
                <c:pt idx="158">
                  <c:v>78.799999999999969</c:v>
                </c:pt>
                <c:pt idx="159">
                  <c:v>78.83</c:v>
                </c:pt>
                <c:pt idx="160">
                  <c:v>78.849999999999994</c:v>
                </c:pt>
                <c:pt idx="161">
                  <c:v>78.86999999999999</c:v>
                </c:pt>
                <c:pt idx="162">
                  <c:v>78.889999999999986</c:v>
                </c:pt>
                <c:pt idx="163">
                  <c:v>78.909999999999982</c:v>
                </c:pt>
                <c:pt idx="164">
                  <c:v>78.929999999999978</c:v>
                </c:pt>
                <c:pt idx="165">
                  <c:v>78.949999999999974</c:v>
                </c:pt>
                <c:pt idx="166">
                  <c:v>78.96999999999997</c:v>
                </c:pt>
                <c:pt idx="167">
                  <c:v>79</c:v>
                </c:pt>
                <c:pt idx="168">
                  <c:v>79.02</c:v>
                </c:pt>
                <c:pt idx="169">
                  <c:v>79.039999999999992</c:v>
                </c:pt>
                <c:pt idx="170">
                  <c:v>79.059999999999988</c:v>
                </c:pt>
                <c:pt idx="171">
                  <c:v>79.079999999999984</c:v>
                </c:pt>
                <c:pt idx="172">
                  <c:v>79.09999999999998</c:v>
                </c:pt>
                <c:pt idx="173">
                  <c:v>79.119999999999976</c:v>
                </c:pt>
                <c:pt idx="174">
                  <c:v>79.139999999999972</c:v>
                </c:pt>
                <c:pt idx="175">
                  <c:v>79.159999999999968</c:v>
                </c:pt>
                <c:pt idx="176">
                  <c:v>79.210000000000008</c:v>
                </c:pt>
                <c:pt idx="177">
                  <c:v>79.23</c:v>
                </c:pt>
                <c:pt idx="178">
                  <c:v>79.25</c:v>
                </c:pt>
                <c:pt idx="179">
                  <c:v>79.27</c:v>
                </c:pt>
                <c:pt idx="180">
                  <c:v>79.289999999999992</c:v>
                </c:pt>
                <c:pt idx="181">
                  <c:v>79.309999999999988</c:v>
                </c:pt>
                <c:pt idx="182">
                  <c:v>79.329999999999984</c:v>
                </c:pt>
                <c:pt idx="183">
                  <c:v>79.34</c:v>
                </c:pt>
                <c:pt idx="184">
                  <c:v>79.36</c:v>
                </c:pt>
                <c:pt idx="185">
                  <c:v>79.38</c:v>
                </c:pt>
                <c:pt idx="186">
                  <c:v>79.399999999999991</c:v>
                </c:pt>
                <c:pt idx="187">
                  <c:v>79.460000000000008</c:v>
                </c:pt>
                <c:pt idx="188">
                  <c:v>79.48</c:v>
                </c:pt>
                <c:pt idx="189">
                  <c:v>79.5</c:v>
                </c:pt>
                <c:pt idx="190">
                  <c:v>79.52</c:v>
                </c:pt>
                <c:pt idx="191">
                  <c:v>79.539999999999992</c:v>
                </c:pt>
                <c:pt idx="192">
                  <c:v>79.559999999999988</c:v>
                </c:pt>
                <c:pt idx="193">
                  <c:v>79.579999999999984</c:v>
                </c:pt>
                <c:pt idx="194">
                  <c:v>79.59999999999998</c:v>
                </c:pt>
                <c:pt idx="195">
                  <c:v>79.62</c:v>
                </c:pt>
                <c:pt idx="196">
                  <c:v>79.64</c:v>
                </c:pt>
                <c:pt idx="197">
                  <c:v>79.66</c:v>
                </c:pt>
                <c:pt idx="198">
                  <c:v>79.679999999999993</c:v>
                </c:pt>
                <c:pt idx="199">
                  <c:v>79.699999999999989</c:v>
                </c:pt>
                <c:pt idx="200">
                  <c:v>79.719999999999985</c:v>
                </c:pt>
                <c:pt idx="201">
                  <c:v>79.739999999999981</c:v>
                </c:pt>
                <c:pt idx="202">
                  <c:v>79.759999999999977</c:v>
                </c:pt>
                <c:pt idx="203">
                  <c:v>79.8</c:v>
                </c:pt>
                <c:pt idx="204">
                  <c:v>79.819999999999993</c:v>
                </c:pt>
                <c:pt idx="205">
                  <c:v>79.839999999999989</c:v>
                </c:pt>
                <c:pt idx="206">
                  <c:v>79.859999999999985</c:v>
                </c:pt>
                <c:pt idx="207">
                  <c:v>79.879999999999981</c:v>
                </c:pt>
                <c:pt idx="208">
                  <c:v>79.899999999999977</c:v>
                </c:pt>
                <c:pt idx="209">
                  <c:v>79.919999999999973</c:v>
                </c:pt>
                <c:pt idx="210">
                  <c:v>79.939999999999969</c:v>
                </c:pt>
                <c:pt idx="211">
                  <c:v>79.959999999999965</c:v>
                </c:pt>
                <c:pt idx="212">
                  <c:v>79.979999999999961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6-4C4F-994B-05298F229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27806080"/>
        <c:axId val="-1527796288"/>
      </c:scatterChart>
      <c:valAx>
        <c:axId val="-1527806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796288"/>
        <c:crosses val="autoZero"/>
        <c:crossBetween val="midCat"/>
      </c:valAx>
      <c:valAx>
        <c:axId val="-1527796288"/>
        <c:scaling>
          <c:orientation val="maxMin"/>
          <c:max val="80"/>
          <c:min val="7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80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NRM/ARM(35-80)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Лист1!$BN$6:$BN$218</c:f>
              <c:numCache>
                <c:formatCode>General</c:formatCode>
                <c:ptCount val="213"/>
                <c:pt idx="0">
                  <c:v>0.12942619409631162</c:v>
                </c:pt>
                <c:pt idx="1">
                  <c:v>8.622753028849317E-2</c:v>
                </c:pt>
                <c:pt idx="2">
                  <c:v>6.6695449226627623E-2</c:v>
                </c:pt>
                <c:pt idx="3">
                  <c:v>5.5042319184346607E-2</c:v>
                </c:pt>
                <c:pt idx="4">
                  <c:v>0.11534377608736611</c:v>
                </c:pt>
                <c:pt idx="5">
                  <c:v>0.12038000450113587</c:v>
                </c:pt>
                <c:pt idx="6">
                  <c:v>0.10260945632557626</c:v>
                </c:pt>
                <c:pt idx="7">
                  <c:v>0.11101760483026249</c:v>
                </c:pt>
                <c:pt idx="8">
                  <c:v>0.12610234714534599</c:v>
                </c:pt>
                <c:pt idx="9">
                  <c:v>0.10591174437296268</c:v>
                </c:pt>
                <c:pt idx="10">
                  <c:v>8.6125651869865719E-2</c:v>
                </c:pt>
                <c:pt idx="11">
                  <c:v>6.3975927899702703E-2</c:v>
                </c:pt>
                <c:pt idx="12">
                  <c:v>3.3250993011042285E-2</c:v>
                </c:pt>
                <c:pt idx="13">
                  <c:v>3.6199519365454534E-2</c:v>
                </c:pt>
                <c:pt idx="14">
                  <c:v>5.9499854910877878E-2</c:v>
                </c:pt>
                <c:pt idx="15">
                  <c:v>1.9331908468318393E-2</c:v>
                </c:pt>
                <c:pt idx="16">
                  <c:v>7.5027243756054185E-2</c:v>
                </c:pt>
                <c:pt idx="17">
                  <c:v>8.2854329194489582E-2</c:v>
                </c:pt>
                <c:pt idx="18">
                  <c:v>7.0407809033963653E-2</c:v>
                </c:pt>
                <c:pt idx="20">
                  <c:v>4.8430448569831475E-2</c:v>
                </c:pt>
                <c:pt idx="21">
                  <c:v>3.7693808789681121E-2</c:v>
                </c:pt>
                <c:pt idx="22">
                  <c:v>1.6793231212050702E-2</c:v>
                </c:pt>
                <c:pt idx="23">
                  <c:v>5.1100143971290743E-2</c:v>
                </c:pt>
                <c:pt idx="24">
                  <c:v>2.4875219087521001E-2</c:v>
                </c:pt>
                <c:pt idx="25">
                  <c:v>5.4969603900079253E-2</c:v>
                </c:pt>
                <c:pt idx="26">
                  <c:v>4.6468133822149697E-2</c:v>
                </c:pt>
                <c:pt idx="27">
                  <c:v>3.7256277976076627E-2</c:v>
                </c:pt>
                <c:pt idx="28">
                  <c:v>1.3111047880930558E-2</c:v>
                </c:pt>
                <c:pt idx="29">
                  <c:v>2.1849723679032047E-2</c:v>
                </c:pt>
                <c:pt idx="30">
                  <c:v>3.7528285602674914E-3</c:v>
                </c:pt>
                <c:pt idx="31">
                  <c:v>-3.0465926950112764E-2</c:v>
                </c:pt>
                <c:pt idx="32">
                  <c:v>1.0859792679571123E-2</c:v>
                </c:pt>
                <c:pt idx="33">
                  <c:v>3.6560524927560087E-3</c:v>
                </c:pt>
                <c:pt idx="34">
                  <c:v>1.4296324229312738E-2</c:v>
                </c:pt>
                <c:pt idx="35">
                  <c:v>1.0496041089510856E-2</c:v>
                </c:pt>
                <c:pt idx="36">
                  <c:v>1.2337181189370043E-2</c:v>
                </c:pt>
                <c:pt idx="37">
                  <c:v>1.5334957244312256E-2</c:v>
                </c:pt>
                <c:pt idx="38">
                  <c:v>-1.3686628632280387E-2</c:v>
                </c:pt>
                <c:pt idx="39">
                  <c:v>1.8103101436994409E-2</c:v>
                </c:pt>
                <c:pt idx="40">
                  <c:v>4.9715872057123113E-3</c:v>
                </c:pt>
                <c:pt idx="41">
                  <c:v>4.1046167862327863E-2</c:v>
                </c:pt>
                <c:pt idx="42">
                  <c:v>-1.8120399677882138E-2</c:v>
                </c:pt>
                <c:pt idx="43">
                  <c:v>8.0093570301433704E-3</c:v>
                </c:pt>
                <c:pt idx="44">
                  <c:v>2.7549513130377967E-2</c:v>
                </c:pt>
                <c:pt idx="45">
                  <c:v>3.4135664731412635E-2</c:v>
                </c:pt>
                <c:pt idx="46">
                  <c:v>-1.6390905715273758E-2</c:v>
                </c:pt>
                <c:pt idx="47">
                  <c:v>2.9652571381332839E-2</c:v>
                </c:pt>
                <c:pt idx="48">
                  <c:v>4.5857821872568462E-2</c:v>
                </c:pt>
                <c:pt idx="49">
                  <c:v>-4.7562750810214022E-3</c:v>
                </c:pt>
                <c:pt idx="50">
                  <c:v>2.8218864485741443E-2</c:v>
                </c:pt>
                <c:pt idx="51">
                  <c:v>4.6565647789018616E-2</c:v>
                </c:pt>
                <c:pt idx="52">
                  <c:v>4.6064029947426213E-2</c:v>
                </c:pt>
                <c:pt idx="53">
                  <c:v>4.6069122718029522E-2</c:v>
                </c:pt>
                <c:pt idx="54">
                  <c:v>6.5208166591491978E-2</c:v>
                </c:pt>
                <c:pt idx="55">
                  <c:v>0.10940959150351448</c:v>
                </c:pt>
                <c:pt idx="56">
                  <c:v>4.3204532246049497E-2</c:v>
                </c:pt>
                <c:pt idx="57">
                  <c:v>4.1810548572338624E-2</c:v>
                </c:pt>
                <c:pt idx="58">
                  <c:v>2.7449543117994E-2</c:v>
                </c:pt>
                <c:pt idx="59">
                  <c:v>5.7659458233321415E-2</c:v>
                </c:pt>
                <c:pt idx="60">
                  <c:v>3.3792577645813206E-2</c:v>
                </c:pt>
                <c:pt idx="61">
                  <c:v>5.2411256826188253E-2</c:v>
                </c:pt>
                <c:pt idx="62">
                  <c:v>4.3927023674633491E-2</c:v>
                </c:pt>
                <c:pt idx="63">
                  <c:v>1.1911815034380154E-2</c:v>
                </c:pt>
                <c:pt idx="64">
                  <c:v>2.6156477421032713E-2</c:v>
                </c:pt>
                <c:pt idx="65">
                  <c:v>1.4483859150392997E-2</c:v>
                </c:pt>
                <c:pt idx="66">
                  <c:v>1.2504608424950374E-2</c:v>
                </c:pt>
                <c:pt idx="67">
                  <c:v>3.603241938022362E-2</c:v>
                </c:pt>
                <c:pt idx="68">
                  <c:v>-4.7142985889748318E-4</c:v>
                </c:pt>
                <c:pt idx="69">
                  <c:v>3.9924304643489214E-2</c:v>
                </c:pt>
                <c:pt idx="70">
                  <c:v>6.9474862027728221E-2</c:v>
                </c:pt>
                <c:pt idx="71">
                  <c:v>2.7596317914068559E-2</c:v>
                </c:pt>
                <c:pt idx="72">
                  <c:v>3.0360404523642182E-2</c:v>
                </c:pt>
                <c:pt idx="73">
                  <c:v>1.4753954869138801E-3</c:v>
                </c:pt>
                <c:pt idx="74">
                  <c:v>3.4037625312420369E-2</c:v>
                </c:pt>
                <c:pt idx="75">
                  <c:v>3.0337212379593408E-2</c:v>
                </c:pt>
                <c:pt idx="76">
                  <c:v>4.6200147080069962E-2</c:v>
                </c:pt>
                <c:pt idx="77">
                  <c:v>3.7769705049649709E-2</c:v>
                </c:pt>
                <c:pt idx="78">
                  <c:v>3.2207146879450962E-2</c:v>
                </c:pt>
                <c:pt idx="79">
                  <c:v>4.4575241741795613E-2</c:v>
                </c:pt>
                <c:pt idx="80">
                  <c:v>-8.0691530736220225E-3</c:v>
                </c:pt>
                <c:pt idx="81">
                  <c:v>2.0636008209485031E-2</c:v>
                </c:pt>
                <c:pt idx="82">
                  <c:v>2.7626454958447653E-2</c:v>
                </c:pt>
                <c:pt idx="83">
                  <c:v>4.2305130523337953E-2</c:v>
                </c:pt>
                <c:pt idx="84">
                  <c:v>9.3054280186951874E-2</c:v>
                </c:pt>
                <c:pt idx="85">
                  <c:v>9.0372216690353363E-2</c:v>
                </c:pt>
                <c:pt idx="86">
                  <c:v>4.2878836947452911E-2</c:v>
                </c:pt>
                <c:pt idx="87">
                  <c:v>5.5487286121229301E-2</c:v>
                </c:pt>
                <c:pt idx="88">
                  <c:v>3.1653945323416144E-2</c:v>
                </c:pt>
                <c:pt idx="89">
                  <c:v>6.4704481093591851E-2</c:v>
                </c:pt>
                <c:pt idx="90">
                  <c:v>5.8664996789406308E-2</c:v>
                </c:pt>
                <c:pt idx="91">
                  <c:v>7.9911542352478465E-2</c:v>
                </c:pt>
                <c:pt idx="92">
                  <c:v>4.0225059035144693E-2</c:v>
                </c:pt>
                <c:pt idx="93">
                  <c:v>3.8524842462219523E-2</c:v>
                </c:pt>
                <c:pt idx="94">
                  <c:v>6.3523839041081526E-2</c:v>
                </c:pt>
                <c:pt idx="95">
                  <c:v>4.7132782699400334E-2</c:v>
                </c:pt>
                <c:pt idx="96">
                  <c:v>2.9771445444391038E-2</c:v>
                </c:pt>
                <c:pt idx="97">
                  <c:v>8.3006433612755725E-4</c:v>
                </c:pt>
                <c:pt idx="98">
                  <c:v>4.741703175500768E-2</c:v>
                </c:pt>
                <c:pt idx="99">
                  <c:v>7.3677092466389552E-2</c:v>
                </c:pt>
                <c:pt idx="100">
                  <c:v>8.649947364718466E-2</c:v>
                </c:pt>
                <c:pt idx="101">
                  <c:v>1.9866193935973244E-2</c:v>
                </c:pt>
                <c:pt idx="102">
                  <c:v>4.0992406064791091E-2</c:v>
                </c:pt>
                <c:pt idx="103">
                  <c:v>6.9937505415270055E-3</c:v>
                </c:pt>
                <c:pt idx="104">
                  <c:v>2.8257411783075673E-2</c:v>
                </c:pt>
                <c:pt idx="105">
                  <c:v>2.0719526479514395E-2</c:v>
                </c:pt>
                <c:pt idx="106">
                  <c:v>4.8261486890697099E-2</c:v>
                </c:pt>
                <c:pt idx="107">
                  <c:v>2.2142527760603374E-2</c:v>
                </c:pt>
                <c:pt idx="108">
                  <c:v>0.13222131691115796</c:v>
                </c:pt>
                <c:pt idx="109">
                  <c:v>0.14720016525915347</c:v>
                </c:pt>
                <c:pt idx="110">
                  <c:v>0.16747670791431202</c:v>
                </c:pt>
                <c:pt idx="111">
                  <c:v>0.11589972526867449</c:v>
                </c:pt>
                <c:pt idx="112">
                  <c:v>0.17447335016056065</c:v>
                </c:pt>
                <c:pt idx="113">
                  <c:v>8.5760346827419856E-2</c:v>
                </c:pt>
                <c:pt idx="114">
                  <c:v>1.3617088255061076E-2</c:v>
                </c:pt>
                <c:pt idx="115">
                  <c:v>3.1686411067548721E-2</c:v>
                </c:pt>
                <c:pt idx="116">
                  <c:v>5.7952488975965423E-2</c:v>
                </c:pt>
                <c:pt idx="117">
                  <c:v>4.8231265243959508E-2</c:v>
                </c:pt>
                <c:pt idx="118">
                  <c:v>7.0517644517122807E-2</c:v>
                </c:pt>
                <c:pt idx="119">
                  <c:v>2.4681161207575915E-2</c:v>
                </c:pt>
                <c:pt idx="120">
                  <c:v>2.0258520955923134E-2</c:v>
                </c:pt>
                <c:pt idx="121">
                  <c:v>9.11275154400773E-2</c:v>
                </c:pt>
                <c:pt idx="122">
                  <c:v>8.6056882415970135E-2</c:v>
                </c:pt>
                <c:pt idx="123">
                  <c:v>5.702568162183573E-2</c:v>
                </c:pt>
                <c:pt idx="124">
                  <c:v>8.1427720575435555E-2</c:v>
                </c:pt>
                <c:pt idx="125">
                  <c:v>6.4188257366670984E-2</c:v>
                </c:pt>
                <c:pt idx="126">
                  <c:v>4.9897734997519309E-2</c:v>
                </c:pt>
                <c:pt idx="127">
                  <c:v>6.6252405815850693E-2</c:v>
                </c:pt>
                <c:pt idx="128">
                  <c:v>7.1545681131038E-2</c:v>
                </c:pt>
                <c:pt idx="129">
                  <c:v>0.12120991756119188</c:v>
                </c:pt>
                <c:pt idx="130">
                  <c:v>7.1138150929441687E-2</c:v>
                </c:pt>
                <c:pt idx="131">
                  <c:v>2.7352150658679648E-2</c:v>
                </c:pt>
                <c:pt idx="132">
                  <c:v>7.0104986315906684E-2</c:v>
                </c:pt>
                <c:pt idx="133">
                  <c:v>8.0916118581191562E-2</c:v>
                </c:pt>
                <c:pt idx="134">
                  <c:v>0.10106805017125714</c:v>
                </c:pt>
                <c:pt idx="135">
                  <c:v>6.3011412875407957E-2</c:v>
                </c:pt>
                <c:pt idx="136">
                  <c:v>7.3099972628365678E-2</c:v>
                </c:pt>
                <c:pt idx="137">
                  <c:v>7.4253203279258204E-2</c:v>
                </c:pt>
                <c:pt idx="138">
                  <c:v>8.1264882085710394E-2</c:v>
                </c:pt>
                <c:pt idx="139">
                  <c:v>9.9914092986308711E-2</c:v>
                </c:pt>
                <c:pt idx="140">
                  <c:v>6.8911994474800023E-2</c:v>
                </c:pt>
                <c:pt idx="141">
                  <c:v>0.10842376573871271</c:v>
                </c:pt>
                <c:pt idx="142">
                  <c:v>7.5313858669551037E-2</c:v>
                </c:pt>
                <c:pt idx="143">
                  <c:v>9.605174052693681E-2</c:v>
                </c:pt>
                <c:pt idx="144">
                  <c:v>6.3600339575455495E-2</c:v>
                </c:pt>
                <c:pt idx="145">
                  <c:v>7.6884830750357971E-2</c:v>
                </c:pt>
                <c:pt idx="146">
                  <c:v>9.6667970677191253E-2</c:v>
                </c:pt>
                <c:pt idx="148">
                  <c:v>0.13066554416056914</c:v>
                </c:pt>
                <c:pt idx="149">
                  <c:v>0.12026276824235994</c:v>
                </c:pt>
                <c:pt idx="150">
                  <c:v>7.1357615692990192E-2</c:v>
                </c:pt>
                <c:pt idx="151">
                  <c:v>7.7228349714794031E-2</c:v>
                </c:pt>
                <c:pt idx="152">
                  <c:v>0.11151389267080057</c:v>
                </c:pt>
                <c:pt idx="153">
                  <c:v>8.3638022301564433E-2</c:v>
                </c:pt>
                <c:pt idx="154">
                  <c:v>0.15073032107880435</c:v>
                </c:pt>
                <c:pt idx="155">
                  <c:v>0.11933062644845562</c:v>
                </c:pt>
                <c:pt idx="156">
                  <c:v>0.10687777183545588</c:v>
                </c:pt>
                <c:pt idx="157">
                  <c:v>0.11002794818299506</c:v>
                </c:pt>
                <c:pt idx="158">
                  <c:v>0.19553849703763762</c:v>
                </c:pt>
                <c:pt idx="159">
                  <c:v>0.11351722961142209</c:v>
                </c:pt>
                <c:pt idx="160">
                  <c:v>0.10645939665449863</c:v>
                </c:pt>
                <c:pt idx="161">
                  <c:v>0.10511385852461776</c:v>
                </c:pt>
                <c:pt idx="162">
                  <c:v>0.10185411378039985</c:v>
                </c:pt>
                <c:pt idx="163">
                  <c:v>0.12070199873357318</c:v>
                </c:pt>
                <c:pt idx="164">
                  <c:v>8.5090639834908333E-2</c:v>
                </c:pt>
                <c:pt idx="165">
                  <c:v>8.9847451031232359E-2</c:v>
                </c:pt>
                <c:pt idx="166">
                  <c:v>0.11794852346560356</c:v>
                </c:pt>
                <c:pt idx="167">
                  <c:v>0.16444785003789245</c:v>
                </c:pt>
                <c:pt idx="168">
                  <c:v>0.10893587567789469</c:v>
                </c:pt>
                <c:pt idx="169">
                  <c:v>0.11103699995496151</c:v>
                </c:pt>
                <c:pt idx="170">
                  <c:v>0.12639785656562105</c:v>
                </c:pt>
                <c:pt idx="171">
                  <c:v>0.12210044538794528</c:v>
                </c:pt>
                <c:pt idx="172">
                  <c:v>0.1394042232089853</c:v>
                </c:pt>
                <c:pt idx="173">
                  <c:v>0.1386832462107272</c:v>
                </c:pt>
                <c:pt idx="174">
                  <c:v>0.11351804167127227</c:v>
                </c:pt>
                <c:pt idx="175">
                  <c:v>0.12354997949741886</c:v>
                </c:pt>
                <c:pt idx="176">
                  <c:v>0.14797725786547494</c:v>
                </c:pt>
                <c:pt idx="177">
                  <c:v>0.17772788016644278</c:v>
                </c:pt>
                <c:pt idx="178">
                  <c:v>0.13460482494941151</c:v>
                </c:pt>
                <c:pt idx="179">
                  <c:v>0.1328109747584052</c:v>
                </c:pt>
                <c:pt idx="180">
                  <c:v>9.4250527246757004E-2</c:v>
                </c:pt>
                <c:pt idx="181">
                  <c:v>0.12446476094843761</c:v>
                </c:pt>
                <c:pt idx="182">
                  <c:v>0.19053069086213581</c:v>
                </c:pt>
                <c:pt idx="183">
                  <c:v>9.8004263271166875E-2</c:v>
                </c:pt>
                <c:pt idx="184">
                  <c:v>8.236340796465913E-2</c:v>
                </c:pt>
                <c:pt idx="185">
                  <c:v>9.1542056632944582E-2</c:v>
                </c:pt>
                <c:pt idx="186">
                  <c:v>5.8925493830845166E-2</c:v>
                </c:pt>
                <c:pt idx="187">
                  <c:v>7.6278021920708802E-2</c:v>
                </c:pt>
                <c:pt idx="188">
                  <c:v>8.9578910867837369E-2</c:v>
                </c:pt>
                <c:pt idx="189">
                  <c:v>6.6087803081311139E-2</c:v>
                </c:pt>
                <c:pt idx="190">
                  <c:v>7.5166884135128537E-2</c:v>
                </c:pt>
                <c:pt idx="191">
                  <c:v>6.5299272750302173E-2</c:v>
                </c:pt>
                <c:pt idx="192">
                  <c:v>0.11379548821932368</c:v>
                </c:pt>
                <c:pt idx="193">
                  <c:v>4.789424579702168E-2</c:v>
                </c:pt>
                <c:pt idx="194">
                  <c:v>7.7270593088972175E-2</c:v>
                </c:pt>
                <c:pt idx="195">
                  <c:v>8.3929849888539076E-2</c:v>
                </c:pt>
                <c:pt idx="196">
                  <c:v>7.1580876450635017E-2</c:v>
                </c:pt>
                <c:pt idx="197">
                  <c:v>3.387496308141482E-2</c:v>
                </c:pt>
                <c:pt idx="198">
                  <c:v>5.7062630804272374E-2</c:v>
                </c:pt>
                <c:pt idx="199">
                  <c:v>5.3691070136119103E-2</c:v>
                </c:pt>
                <c:pt idx="200">
                  <c:v>8.3502561462682257E-2</c:v>
                </c:pt>
                <c:pt idx="201">
                  <c:v>6.6027834600606752E-2</c:v>
                </c:pt>
                <c:pt idx="202">
                  <c:v>3.3136574206441748E-2</c:v>
                </c:pt>
                <c:pt idx="203">
                  <c:v>3.0162747270925702E-2</c:v>
                </c:pt>
                <c:pt idx="204">
                  <c:v>3.7748302593677466E-2</c:v>
                </c:pt>
                <c:pt idx="205">
                  <c:v>3.8599794756266466E-2</c:v>
                </c:pt>
                <c:pt idx="206">
                  <c:v>5.6070701499699609E-2</c:v>
                </c:pt>
                <c:pt idx="207">
                  <c:v>6.0843081521893841E-2</c:v>
                </c:pt>
                <c:pt idx="208">
                  <c:v>1.752175637154247E-2</c:v>
                </c:pt>
                <c:pt idx="209">
                  <c:v>0.16451400471837752</c:v>
                </c:pt>
                <c:pt idx="210">
                  <c:v>0.14336585088134321</c:v>
                </c:pt>
                <c:pt idx="211">
                  <c:v>8.3773631380637661E-2</c:v>
                </c:pt>
                <c:pt idx="212">
                  <c:v>3.8981921757249675E-2</c:v>
                </c:pt>
              </c:numCache>
            </c:numRef>
          </c:xVal>
          <c:yVal>
            <c:numRef>
              <c:f>Лист1!$BQ$6:$BQ$218</c:f>
              <c:numCache>
                <c:formatCode>0.00</c:formatCode>
                <c:ptCount val="213"/>
                <c:pt idx="0">
                  <c:v>74.73</c:v>
                </c:pt>
                <c:pt idx="1">
                  <c:v>74.750714285714295</c:v>
                </c:pt>
                <c:pt idx="2">
                  <c:v>74.771428571428586</c:v>
                </c:pt>
                <c:pt idx="3">
                  <c:v>74.792142857142878</c:v>
                </c:pt>
                <c:pt idx="4">
                  <c:v>74.812857142857169</c:v>
                </c:pt>
                <c:pt idx="5">
                  <c:v>74.83357142857146</c:v>
                </c:pt>
                <c:pt idx="6">
                  <c:v>74.854285714285751</c:v>
                </c:pt>
                <c:pt idx="7">
                  <c:v>74.88</c:v>
                </c:pt>
                <c:pt idx="8">
                  <c:v>74.901666666666657</c:v>
                </c:pt>
                <c:pt idx="9">
                  <c:v>74.923333333333318</c:v>
                </c:pt>
                <c:pt idx="10">
                  <c:v>74.944999999999979</c:v>
                </c:pt>
                <c:pt idx="11">
                  <c:v>74.96666666666664</c:v>
                </c:pt>
                <c:pt idx="12">
                  <c:v>74.988333333333301</c:v>
                </c:pt>
                <c:pt idx="13">
                  <c:v>75.069999999999993</c:v>
                </c:pt>
                <c:pt idx="14">
                  <c:v>75.089999999999989</c:v>
                </c:pt>
                <c:pt idx="15">
                  <c:v>75.109999999999985</c:v>
                </c:pt>
                <c:pt idx="16">
                  <c:v>75.129999999999981</c:v>
                </c:pt>
                <c:pt idx="17">
                  <c:v>75.149999999999977</c:v>
                </c:pt>
                <c:pt idx="18">
                  <c:v>75.169999999999973</c:v>
                </c:pt>
                <c:pt idx="20">
                  <c:v>75.734999999999999</c:v>
                </c:pt>
                <c:pt idx="21">
                  <c:v>75.754999999999995</c:v>
                </c:pt>
                <c:pt idx="22">
                  <c:v>75.774999999999991</c:v>
                </c:pt>
                <c:pt idx="23">
                  <c:v>75.794999999999987</c:v>
                </c:pt>
                <c:pt idx="24">
                  <c:v>75.814999999999984</c:v>
                </c:pt>
                <c:pt idx="25">
                  <c:v>75.83499999999998</c:v>
                </c:pt>
                <c:pt idx="26">
                  <c:v>75.854999999999976</c:v>
                </c:pt>
                <c:pt idx="27">
                  <c:v>75.874999999999972</c:v>
                </c:pt>
                <c:pt idx="28">
                  <c:v>75.91</c:v>
                </c:pt>
                <c:pt idx="29">
                  <c:v>75.929999999999993</c:v>
                </c:pt>
                <c:pt idx="30">
                  <c:v>75.949999999999989</c:v>
                </c:pt>
                <c:pt idx="31">
                  <c:v>75.969999999999985</c:v>
                </c:pt>
                <c:pt idx="32">
                  <c:v>75.989999999999981</c:v>
                </c:pt>
                <c:pt idx="33">
                  <c:v>76.009999999999977</c:v>
                </c:pt>
                <c:pt idx="34">
                  <c:v>76.029999999999973</c:v>
                </c:pt>
                <c:pt idx="35">
                  <c:v>76.049999999999969</c:v>
                </c:pt>
                <c:pt idx="36">
                  <c:v>76.069999999999965</c:v>
                </c:pt>
                <c:pt idx="37">
                  <c:v>76.089999999999961</c:v>
                </c:pt>
                <c:pt idx="38">
                  <c:v>76.11</c:v>
                </c:pt>
                <c:pt idx="39">
                  <c:v>76.13</c:v>
                </c:pt>
                <c:pt idx="40">
                  <c:v>76.149999999999991</c:v>
                </c:pt>
                <c:pt idx="41">
                  <c:v>76.169999999999987</c:v>
                </c:pt>
                <c:pt idx="42">
                  <c:v>76.189999999999984</c:v>
                </c:pt>
                <c:pt idx="43">
                  <c:v>76.20999999999998</c:v>
                </c:pt>
                <c:pt idx="44">
                  <c:v>76.240000000000009</c:v>
                </c:pt>
                <c:pt idx="45">
                  <c:v>76.260000000000005</c:v>
                </c:pt>
                <c:pt idx="46">
                  <c:v>76.28</c:v>
                </c:pt>
                <c:pt idx="47">
                  <c:v>76.320000000000007</c:v>
                </c:pt>
                <c:pt idx="48">
                  <c:v>76.34</c:v>
                </c:pt>
                <c:pt idx="49">
                  <c:v>76.36</c:v>
                </c:pt>
                <c:pt idx="50">
                  <c:v>76.38</c:v>
                </c:pt>
                <c:pt idx="51">
                  <c:v>76.399999999999991</c:v>
                </c:pt>
                <c:pt idx="52">
                  <c:v>76.419999999999987</c:v>
                </c:pt>
                <c:pt idx="53">
                  <c:v>76.460000000000008</c:v>
                </c:pt>
                <c:pt idx="54">
                  <c:v>76.48</c:v>
                </c:pt>
                <c:pt idx="55">
                  <c:v>76.5</c:v>
                </c:pt>
                <c:pt idx="56">
                  <c:v>76.52</c:v>
                </c:pt>
                <c:pt idx="57">
                  <c:v>76.539999999999992</c:v>
                </c:pt>
                <c:pt idx="58">
                  <c:v>76.58</c:v>
                </c:pt>
                <c:pt idx="59">
                  <c:v>76.600454545454539</c:v>
                </c:pt>
                <c:pt idx="60">
                  <c:v>76.62090909090908</c:v>
                </c:pt>
                <c:pt idx="61">
                  <c:v>76.641363636363621</c:v>
                </c:pt>
                <c:pt idx="62">
                  <c:v>76.661818181818163</c:v>
                </c:pt>
                <c:pt idx="63">
                  <c:v>76.682272727272704</c:v>
                </c:pt>
                <c:pt idx="64">
                  <c:v>76.702727272727245</c:v>
                </c:pt>
                <c:pt idx="65">
                  <c:v>76.723181818181786</c:v>
                </c:pt>
                <c:pt idx="66">
                  <c:v>76.743636363636327</c:v>
                </c:pt>
                <c:pt idx="67">
                  <c:v>76.764090909090868</c:v>
                </c:pt>
                <c:pt idx="68">
                  <c:v>76.784545454545409</c:v>
                </c:pt>
                <c:pt idx="69">
                  <c:v>76.83</c:v>
                </c:pt>
                <c:pt idx="70">
                  <c:v>76.849999999999994</c:v>
                </c:pt>
                <c:pt idx="71">
                  <c:v>76.86999999999999</c:v>
                </c:pt>
                <c:pt idx="72">
                  <c:v>76.889999999999986</c:v>
                </c:pt>
                <c:pt idx="73">
                  <c:v>76.909999999999982</c:v>
                </c:pt>
                <c:pt idx="74">
                  <c:v>76.929999999999978</c:v>
                </c:pt>
                <c:pt idx="75">
                  <c:v>76.949999999999974</c:v>
                </c:pt>
                <c:pt idx="76">
                  <c:v>76.97</c:v>
                </c:pt>
                <c:pt idx="77">
                  <c:v>76.989999999999995</c:v>
                </c:pt>
                <c:pt idx="78">
                  <c:v>77.009999999999991</c:v>
                </c:pt>
                <c:pt idx="79">
                  <c:v>77.029999999999987</c:v>
                </c:pt>
                <c:pt idx="80">
                  <c:v>77.049999999999983</c:v>
                </c:pt>
                <c:pt idx="81">
                  <c:v>77.070000000000007</c:v>
                </c:pt>
                <c:pt idx="82">
                  <c:v>77.09</c:v>
                </c:pt>
                <c:pt idx="83">
                  <c:v>77.11</c:v>
                </c:pt>
                <c:pt idx="84">
                  <c:v>77.13</c:v>
                </c:pt>
                <c:pt idx="85">
                  <c:v>77.149999999999991</c:v>
                </c:pt>
                <c:pt idx="86">
                  <c:v>77.17</c:v>
                </c:pt>
                <c:pt idx="87">
                  <c:v>77.19</c:v>
                </c:pt>
                <c:pt idx="88">
                  <c:v>77.209999999999994</c:v>
                </c:pt>
                <c:pt idx="89">
                  <c:v>77.22999999999999</c:v>
                </c:pt>
                <c:pt idx="90">
                  <c:v>77.249999999999986</c:v>
                </c:pt>
                <c:pt idx="91">
                  <c:v>77.269999999999982</c:v>
                </c:pt>
                <c:pt idx="92">
                  <c:v>77.289999999999978</c:v>
                </c:pt>
                <c:pt idx="93">
                  <c:v>77.350000000000009</c:v>
                </c:pt>
                <c:pt idx="94">
                  <c:v>77.37</c:v>
                </c:pt>
                <c:pt idx="95">
                  <c:v>77.39</c:v>
                </c:pt>
                <c:pt idx="96">
                  <c:v>77.41</c:v>
                </c:pt>
                <c:pt idx="97">
                  <c:v>77.429999999999993</c:v>
                </c:pt>
                <c:pt idx="98">
                  <c:v>77.449999999999989</c:v>
                </c:pt>
                <c:pt idx="99">
                  <c:v>77.469999999999985</c:v>
                </c:pt>
                <c:pt idx="100">
                  <c:v>77.489999999999981</c:v>
                </c:pt>
                <c:pt idx="101">
                  <c:v>77.53</c:v>
                </c:pt>
                <c:pt idx="102">
                  <c:v>77.55</c:v>
                </c:pt>
                <c:pt idx="103">
                  <c:v>77.569999999999993</c:v>
                </c:pt>
                <c:pt idx="104">
                  <c:v>77.589999999999989</c:v>
                </c:pt>
                <c:pt idx="105">
                  <c:v>77.609999999999985</c:v>
                </c:pt>
                <c:pt idx="106">
                  <c:v>77.629999999999981</c:v>
                </c:pt>
                <c:pt idx="107">
                  <c:v>77.649999999999977</c:v>
                </c:pt>
                <c:pt idx="108">
                  <c:v>77.669999999999973</c:v>
                </c:pt>
                <c:pt idx="109">
                  <c:v>77.679999999999993</c:v>
                </c:pt>
                <c:pt idx="110">
                  <c:v>77.699999999999989</c:v>
                </c:pt>
                <c:pt idx="111">
                  <c:v>77.719999999999985</c:v>
                </c:pt>
                <c:pt idx="112">
                  <c:v>77.739999999999995</c:v>
                </c:pt>
                <c:pt idx="113">
                  <c:v>77.759999999999991</c:v>
                </c:pt>
                <c:pt idx="114">
                  <c:v>77.779999999999987</c:v>
                </c:pt>
                <c:pt idx="115">
                  <c:v>77.799999999999983</c:v>
                </c:pt>
                <c:pt idx="116">
                  <c:v>77.819999999999979</c:v>
                </c:pt>
                <c:pt idx="117">
                  <c:v>77.839999999999975</c:v>
                </c:pt>
                <c:pt idx="118">
                  <c:v>77.859999999999971</c:v>
                </c:pt>
                <c:pt idx="119">
                  <c:v>77.89</c:v>
                </c:pt>
                <c:pt idx="120">
                  <c:v>77.91</c:v>
                </c:pt>
                <c:pt idx="121">
                  <c:v>77.929999999999993</c:v>
                </c:pt>
                <c:pt idx="122">
                  <c:v>77.949999999999989</c:v>
                </c:pt>
                <c:pt idx="123">
                  <c:v>77.969999999999985</c:v>
                </c:pt>
                <c:pt idx="124">
                  <c:v>77.989999999999981</c:v>
                </c:pt>
                <c:pt idx="125">
                  <c:v>78.02</c:v>
                </c:pt>
                <c:pt idx="126">
                  <c:v>78.041428571428568</c:v>
                </c:pt>
                <c:pt idx="127">
                  <c:v>78.062857142857141</c:v>
                </c:pt>
                <c:pt idx="128">
                  <c:v>78.084285714285713</c:v>
                </c:pt>
                <c:pt idx="129">
                  <c:v>78.105714285714285</c:v>
                </c:pt>
                <c:pt idx="130">
                  <c:v>78.127142857142857</c:v>
                </c:pt>
                <c:pt idx="131">
                  <c:v>78.148571428571429</c:v>
                </c:pt>
                <c:pt idx="132">
                  <c:v>78.180000000000007</c:v>
                </c:pt>
                <c:pt idx="133">
                  <c:v>78.2</c:v>
                </c:pt>
                <c:pt idx="134">
                  <c:v>78.22</c:v>
                </c:pt>
                <c:pt idx="135">
                  <c:v>78.239999999999995</c:v>
                </c:pt>
                <c:pt idx="136">
                  <c:v>78.259999999999991</c:v>
                </c:pt>
                <c:pt idx="137">
                  <c:v>78.279999999999987</c:v>
                </c:pt>
                <c:pt idx="138">
                  <c:v>78.299999999999983</c:v>
                </c:pt>
                <c:pt idx="139">
                  <c:v>78.350000000000009</c:v>
                </c:pt>
                <c:pt idx="140">
                  <c:v>78.370833333333337</c:v>
                </c:pt>
                <c:pt idx="141">
                  <c:v>78.391666666666666</c:v>
                </c:pt>
                <c:pt idx="142">
                  <c:v>78.412499999999994</c:v>
                </c:pt>
                <c:pt idx="143">
                  <c:v>78.433333333333323</c:v>
                </c:pt>
                <c:pt idx="144">
                  <c:v>78.454166666666652</c:v>
                </c:pt>
                <c:pt idx="145">
                  <c:v>78.52</c:v>
                </c:pt>
                <c:pt idx="146">
                  <c:v>78.539999999999992</c:v>
                </c:pt>
                <c:pt idx="147">
                  <c:v>78.559999999999988</c:v>
                </c:pt>
                <c:pt idx="148">
                  <c:v>78.579999999999984</c:v>
                </c:pt>
                <c:pt idx="149">
                  <c:v>78.59999999999998</c:v>
                </c:pt>
                <c:pt idx="150">
                  <c:v>78.619999999999976</c:v>
                </c:pt>
                <c:pt idx="151">
                  <c:v>78.66</c:v>
                </c:pt>
                <c:pt idx="152">
                  <c:v>78.679999999999993</c:v>
                </c:pt>
                <c:pt idx="153">
                  <c:v>78.699999999999989</c:v>
                </c:pt>
                <c:pt idx="154">
                  <c:v>78.719999999999985</c:v>
                </c:pt>
                <c:pt idx="155">
                  <c:v>78.739999999999981</c:v>
                </c:pt>
                <c:pt idx="156">
                  <c:v>78.759999999999977</c:v>
                </c:pt>
                <c:pt idx="157">
                  <c:v>78.779999999999973</c:v>
                </c:pt>
                <c:pt idx="158">
                  <c:v>78.799999999999969</c:v>
                </c:pt>
                <c:pt idx="159">
                  <c:v>78.83</c:v>
                </c:pt>
                <c:pt idx="160">
                  <c:v>78.849999999999994</c:v>
                </c:pt>
                <c:pt idx="161">
                  <c:v>78.86999999999999</c:v>
                </c:pt>
                <c:pt idx="162">
                  <c:v>78.889999999999986</c:v>
                </c:pt>
                <c:pt idx="163">
                  <c:v>78.909999999999982</c:v>
                </c:pt>
                <c:pt idx="164">
                  <c:v>78.929999999999978</c:v>
                </c:pt>
                <c:pt idx="165">
                  <c:v>78.949999999999974</c:v>
                </c:pt>
                <c:pt idx="166">
                  <c:v>78.96999999999997</c:v>
                </c:pt>
                <c:pt idx="167">
                  <c:v>79</c:v>
                </c:pt>
                <c:pt idx="168">
                  <c:v>79.02</c:v>
                </c:pt>
                <c:pt idx="169">
                  <c:v>79.039999999999992</c:v>
                </c:pt>
                <c:pt idx="170">
                  <c:v>79.059999999999988</c:v>
                </c:pt>
                <c:pt idx="171">
                  <c:v>79.079999999999984</c:v>
                </c:pt>
                <c:pt idx="172">
                  <c:v>79.09999999999998</c:v>
                </c:pt>
                <c:pt idx="173">
                  <c:v>79.119999999999976</c:v>
                </c:pt>
                <c:pt idx="174">
                  <c:v>79.139999999999972</c:v>
                </c:pt>
                <c:pt idx="175">
                  <c:v>79.159999999999968</c:v>
                </c:pt>
                <c:pt idx="176">
                  <c:v>79.210000000000008</c:v>
                </c:pt>
                <c:pt idx="177">
                  <c:v>79.23</c:v>
                </c:pt>
                <c:pt idx="178">
                  <c:v>79.25</c:v>
                </c:pt>
                <c:pt idx="179">
                  <c:v>79.27</c:v>
                </c:pt>
                <c:pt idx="180">
                  <c:v>79.289999999999992</c:v>
                </c:pt>
                <c:pt idx="181">
                  <c:v>79.309999999999988</c:v>
                </c:pt>
                <c:pt idx="182">
                  <c:v>79.329999999999984</c:v>
                </c:pt>
                <c:pt idx="183">
                  <c:v>79.34</c:v>
                </c:pt>
                <c:pt idx="184">
                  <c:v>79.36</c:v>
                </c:pt>
                <c:pt idx="185">
                  <c:v>79.38</c:v>
                </c:pt>
                <c:pt idx="186">
                  <c:v>79.399999999999991</c:v>
                </c:pt>
                <c:pt idx="187">
                  <c:v>79.460000000000008</c:v>
                </c:pt>
                <c:pt idx="188">
                  <c:v>79.48</c:v>
                </c:pt>
                <c:pt idx="189">
                  <c:v>79.5</c:v>
                </c:pt>
                <c:pt idx="190">
                  <c:v>79.52</c:v>
                </c:pt>
                <c:pt idx="191">
                  <c:v>79.539999999999992</c:v>
                </c:pt>
                <c:pt idx="192">
                  <c:v>79.559999999999988</c:v>
                </c:pt>
                <c:pt idx="193">
                  <c:v>79.579999999999984</c:v>
                </c:pt>
                <c:pt idx="194">
                  <c:v>79.59999999999998</c:v>
                </c:pt>
                <c:pt idx="195">
                  <c:v>79.62</c:v>
                </c:pt>
                <c:pt idx="196">
                  <c:v>79.64</c:v>
                </c:pt>
                <c:pt idx="197">
                  <c:v>79.66</c:v>
                </c:pt>
                <c:pt idx="198">
                  <c:v>79.679999999999993</c:v>
                </c:pt>
                <c:pt idx="199">
                  <c:v>79.699999999999989</c:v>
                </c:pt>
                <c:pt idx="200">
                  <c:v>79.719999999999985</c:v>
                </c:pt>
                <c:pt idx="201">
                  <c:v>79.739999999999981</c:v>
                </c:pt>
                <c:pt idx="202">
                  <c:v>79.759999999999977</c:v>
                </c:pt>
                <c:pt idx="203">
                  <c:v>79.8</c:v>
                </c:pt>
                <c:pt idx="204">
                  <c:v>79.819999999999993</c:v>
                </c:pt>
                <c:pt idx="205">
                  <c:v>79.839999999999989</c:v>
                </c:pt>
                <c:pt idx="206">
                  <c:v>79.859999999999985</c:v>
                </c:pt>
                <c:pt idx="207">
                  <c:v>79.879999999999981</c:v>
                </c:pt>
                <c:pt idx="208">
                  <c:v>79.899999999999977</c:v>
                </c:pt>
                <c:pt idx="209">
                  <c:v>79.919999999999973</c:v>
                </c:pt>
                <c:pt idx="210">
                  <c:v>79.939999999999969</c:v>
                </c:pt>
                <c:pt idx="211">
                  <c:v>79.959999999999965</c:v>
                </c:pt>
                <c:pt idx="212">
                  <c:v>79.979999999999961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2-442D-A428-A3E8A671F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27800096"/>
        <c:axId val="-1527802816"/>
      </c:scatterChart>
      <c:valAx>
        <c:axId val="-1527800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802816"/>
        <c:crosses val="autoZero"/>
        <c:crossBetween val="midCat"/>
      </c:valAx>
      <c:valAx>
        <c:axId val="-1527802816"/>
        <c:scaling>
          <c:orientation val="maxMin"/>
          <c:max val="80"/>
          <c:min val="7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780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604838</xdr:colOff>
      <xdr:row>5</xdr:row>
      <xdr:rowOff>2380</xdr:rowOff>
    </xdr:from>
    <xdr:to>
      <xdr:col>83</xdr:col>
      <xdr:colOff>254793</xdr:colOff>
      <xdr:row>39</xdr:row>
      <xdr:rowOff>40481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83</xdr:col>
      <xdr:colOff>595312</xdr:colOff>
      <xdr:row>0</xdr:row>
      <xdr:rowOff>178594</xdr:rowOff>
    </xdr:from>
    <xdr:to>
      <xdr:col>88</xdr:col>
      <xdr:colOff>59531</xdr:colOff>
      <xdr:row>46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96</xdr:col>
      <xdr:colOff>595313</xdr:colOff>
      <xdr:row>5</xdr:row>
      <xdr:rowOff>0</xdr:rowOff>
    </xdr:from>
    <xdr:to>
      <xdr:col>102</xdr:col>
      <xdr:colOff>245267</xdr:colOff>
      <xdr:row>39</xdr:row>
      <xdr:rowOff>38101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0</xdr:colOff>
      <xdr:row>5</xdr:row>
      <xdr:rowOff>0</xdr:rowOff>
    </xdr:from>
    <xdr:to>
      <xdr:col>95</xdr:col>
      <xdr:colOff>257176</xdr:colOff>
      <xdr:row>39</xdr:row>
      <xdr:rowOff>38101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26"/>
  <sheetViews>
    <sheetView tabSelected="1" topLeftCell="BM1" zoomScale="70" zoomScaleNormal="70" workbookViewId="0">
      <selection activeCell="CA46" sqref="CA46"/>
    </sheetView>
  </sheetViews>
  <sheetFormatPr defaultRowHeight="15" x14ac:dyDescent="0.25"/>
  <cols>
    <col min="2" max="2" width="11.5703125" bestFit="1" customWidth="1"/>
    <col min="6" max="6" width="12" bestFit="1" customWidth="1"/>
    <col min="24" max="24" width="13" bestFit="1" customWidth="1"/>
    <col min="30" max="32" width="0" hidden="1" customWidth="1"/>
    <col min="38" max="40" width="0" hidden="1" customWidth="1"/>
    <col min="43" max="43" width="13" bestFit="1" customWidth="1"/>
    <col min="45" max="45" width="13" bestFit="1" customWidth="1"/>
    <col min="46" max="48" width="0" hidden="1" customWidth="1"/>
    <col min="56" max="56" width="12" bestFit="1" customWidth="1"/>
    <col min="58" max="58" width="12" bestFit="1" customWidth="1"/>
    <col min="59" max="60" width="12" customWidth="1"/>
  </cols>
  <sheetData>
    <row r="1" spans="1:76" x14ac:dyDescent="0.25">
      <c r="B1" s="13" t="s">
        <v>445</v>
      </c>
      <c r="C1" s="13" t="s">
        <v>0</v>
      </c>
      <c r="D1" s="13" t="s">
        <v>1</v>
      </c>
      <c r="G1" s="13" t="s">
        <v>445</v>
      </c>
      <c r="H1" s="13" t="s">
        <v>0</v>
      </c>
      <c r="I1" s="13" t="s">
        <v>1</v>
      </c>
      <c r="L1" s="13" t="s">
        <v>445</v>
      </c>
      <c r="M1" s="13" t="s">
        <v>0</v>
      </c>
      <c r="N1" s="13" t="s">
        <v>1</v>
      </c>
      <c r="Q1" s="13" t="s">
        <v>445</v>
      </c>
      <c r="R1" s="13" t="s">
        <v>1</v>
      </c>
      <c r="T1" t="s">
        <v>2</v>
      </c>
      <c r="V1" t="s">
        <v>3</v>
      </c>
      <c r="X1" t="s">
        <v>447</v>
      </c>
      <c r="AB1" s="14" t="s">
        <v>448</v>
      </c>
      <c r="AC1" s="14"/>
      <c r="AD1" s="14" t="s">
        <v>219</v>
      </c>
      <c r="AE1" s="14" t="s">
        <v>220</v>
      </c>
      <c r="AF1" s="14" t="s">
        <v>221</v>
      </c>
      <c r="AG1" s="14" t="s">
        <v>222</v>
      </c>
      <c r="AJ1" s="14" t="s">
        <v>448</v>
      </c>
      <c r="AK1" s="14"/>
      <c r="AL1" s="14" t="s">
        <v>219</v>
      </c>
      <c r="AM1" s="14" t="s">
        <v>220</v>
      </c>
      <c r="AN1" s="14" t="s">
        <v>221</v>
      </c>
      <c r="AO1" s="14" t="s">
        <v>222</v>
      </c>
      <c r="AR1" s="14" t="s">
        <v>448</v>
      </c>
      <c r="AS1" s="14"/>
      <c r="AT1" s="14" t="s">
        <v>219</v>
      </c>
      <c r="AU1" s="14" t="s">
        <v>220</v>
      </c>
      <c r="AV1" s="14" t="s">
        <v>221</v>
      </c>
      <c r="AW1" s="14" t="s">
        <v>222</v>
      </c>
      <c r="AZ1" s="14" t="s">
        <v>448</v>
      </c>
      <c r="BA1" s="14"/>
      <c r="BB1" s="14" t="s">
        <v>222</v>
      </c>
      <c r="BD1" s="12" t="s">
        <v>436</v>
      </c>
      <c r="BF1" s="12" t="s">
        <v>437</v>
      </c>
      <c r="BH1" s="12" t="s">
        <v>449</v>
      </c>
      <c r="BJ1" s="15" t="s">
        <v>438</v>
      </c>
      <c r="BL1" s="15" t="s">
        <v>439</v>
      </c>
      <c r="BN1" s="15" t="s">
        <v>451</v>
      </c>
      <c r="BP1" t="s">
        <v>457</v>
      </c>
      <c r="BQ1" t="s">
        <v>442</v>
      </c>
      <c r="BR1" t="s">
        <v>440</v>
      </c>
      <c r="BT1" t="s">
        <v>441</v>
      </c>
      <c r="BV1" t="s">
        <v>443</v>
      </c>
      <c r="BX1" t="s">
        <v>444</v>
      </c>
    </row>
    <row r="2" spans="1:76" x14ac:dyDescent="0.25">
      <c r="A2" t="s">
        <v>453</v>
      </c>
      <c r="B2" t="s">
        <v>5</v>
      </c>
      <c r="C2" s="2"/>
      <c r="D2" s="2">
        <v>5.3452417157692691E-8</v>
      </c>
      <c r="E2" s="2"/>
      <c r="F2" s="2"/>
      <c r="G2" s="2"/>
      <c r="H2" s="2"/>
      <c r="I2" s="2"/>
      <c r="J2" s="2"/>
      <c r="K2" s="2" t="s">
        <v>453</v>
      </c>
      <c r="L2" t="s">
        <v>7</v>
      </c>
      <c r="M2" s="2"/>
      <c r="N2" s="2">
        <v>3.3994494039476452E-8</v>
      </c>
      <c r="O2" s="2"/>
      <c r="P2" s="2"/>
      <c r="Q2" s="2"/>
      <c r="R2" s="2"/>
      <c r="V2" s="1">
        <f t="shared" ref="V2:V5" si="0">D2-N2</f>
        <v>1.9457923118216239E-8</v>
      </c>
      <c r="AB2" t="s">
        <v>224</v>
      </c>
      <c r="AC2">
        <v>350</v>
      </c>
      <c r="AD2" s="14"/>
      <c r="AE2" s="14"/>
      <c r="AF2" s="14"/>
      <c r="AG2" s="2">
        <v>1.9083161197362735E-4</v>
      </c>
      <c r="AJ2" s="2"/>
      <c r="AK2" s="2"/>
      <c r="AL2" s="2"/>
      <c r="AM2" s="2"/>
      <c r="AN2" s="2"/>
      <c r="AO2" s="2"/>
      <c r="AP2" s="2"/>
      <c r="AQ2" s="2" t="s">
        <v>453</v>
      </c>
      <c r="AR2" s="2" t="s">
        <v>224</v>
      </c>
      <c r="AS2" s="2">
        <v>600</v>
      </c>
      <c r="AT2" s="2"/>
      <c r="AU2" s="2"/>
      <c r="AV2" s="2"/>
      <c r="AW2" s="2">
        <v>5.5804937410140664E-5</v>
      </c>
      <c r="AX2" s="2"/>
      <c r="AY2" s="2"/>
      <c r="AZ2" s="2"/>
      <c r="BA2" s="2"/>
      <c r="BB2" s="2"/>
      <c r="BC2" s="2"/>
      <c r="BD2" s="2"/>
      <c r="BE2" s="2"/>
      <c r="BF2" s="2">
        <f>AG2-AW2</f>
        <v>1.3502667456348667E-4</v>
      </c>
      <c r="BG2" s="2"/>
      <c r="BH2" s="2"/>
      <c r="BI2" s="2"/>
      <c r="BJ2" s="2"/>
      <c r="BK2" s="2"/>
      <c r="BL2" s="18">
        <f t="shared" ref="BL2:BL5" si="1">V2*1000/BF2</f>
        <v>0.14410429036425346</v>
      </c>
      <c r="BM2" s="2"/>
      <c r="BN2" s="2"/>
      <c r="BO2" s="2"/>
      <c r="BP2">
        <v>16.749827472962249</v>
      </c>
      <c r="BQ2" s="16">
        <v>73.199999999999989</v>
      </c>
      <c r="BT2" s="1"/>
    </row>
    <row r="3" spans="1:76" x14ac:dyDescent="0.25">
      <c r="A3" t="s">
        <v>454</v>
      </c>
      <c r="B3" t="s">
        <v>5</v>
      </c>
      <c r="C3" s="2"/>
      <c r="D3" s="2">
        <v>4.0673048816138683E-8</v>
      </c>
      <c r="E3" s="2"/>
      <c r="F3" s="2"/>
      <c r="G3" s="2"/>
      <c r="H3" s="2"/>
      <c r="I3" s="2"/>
      <c r="J3" s="2"/>
      <c r="K3" s="2" t="s">
        <v>454</v>
      </c>
      <c r="L3" t="s">
        <v>7</v>
      </c>
      <c r="M3" s="2"/>
      <c r="N3" s="2">
        <v>2.3943243305784621E-8</v>
      </c>
      <c r="O3" s="2"/>
      <c r="P3" s="2"/>
      <c r="Q3" s="2"/>
      <c r="R3" s="2"/>
      <c r="V3" s="1">
        <f t="shared" si="0"/>
        <v>1.6729805510354062E-8</v>
      </c>
      <c r="AB3" t="s">
        <v>224</v>
      </c>
      <c r="AC3">
        <v>350</v>
      </c>
      <c r="AD3" s="14"/>
      <c r="AE3" s="14"/>
      <c r="AF3" s="14"/>
      <c r="AG3" s="2">
        <v>1.2215424062788285E-4</v>
      </c>
      <c r="AJ3" s="2"/>
      <c r="AK3" s="2"/>
      <c r="AL3" s="2"/>
      <c r="AM3" s="2"/>
      <c r="AN3" s="2"/>
      <c r="AO3" s="2"/>
      <c r="AP3" s="2"/>
      <c r="AQ3" s="2" t="s">
        <v>454</v>
      </c>
      <c r="AR3" s="2" t="s">
        <v>224</v>
      </c>
      <c r="AS3" s="2">
        <v>600</v>
      </c>
      <c r="AT3" s="2"/>
      <c r="AU3" s="2"/>
      <c r="AV3" s="2"/>
      <c r="AW3" s="2">
        <v>3.6513507020064917E-5</v>
      </c>
      <c r="AX3" s="2"/>
      <c r="AY3" s="2"/>
      <c r="AZ3" s="2"/>
      <c r="BA3" s="2"/>
      <c r="BB3" s="2"/>
      <c r="BC3" s="2"/>
      <c r="BD3" s="2"/>
      <c r="BE3" s="2"/>
      <c r="BF3" s="2">
        <f>AG3-AW3</f>
        <v>8.5640733607817939E-5</v>
      </c>
      <c r="BG3" s="2"/>
      <c r="BH3" s="2"/>
      <c r="BI3" s="2"/>
      <c r="BJ3" s="2"/>
      <c r="BK3" s="2"/>
      <c r="BL3" s="18">
        <f>V3*1000/BF3</f>
        <v>0.19534869454722698</v>
      </c>
      <c r="BM3" s="2"/>
      <c r="BN3" s="2"/>
      <c r="BO3" s="2"/>
      <c r="BP3">
        <v>13.830643181706442</v>
      </c>
      <c r="BQ3" s="16">
        <v>73.699999999999989</v>
      </c>
      <c r="BT3" s="1"/>
    </row>
    <row r="4" spans="1:76" x14ac:dyDescent="0.25">
      <c r="A4" t="s">
        <v>455</v>
      </c>
      <c r="B4" t="s">
        <v>5</v>
      </c>
      <c r="C4" s="2"/>
      <c r="D4" s="2">
        <v>3.7142406612926957E-8</v>
      </c>
      <c r="E4" s="2"/>
      <c r="F4" s="2"/>
      <c r="G4" s="2"/>
      <c r="H4" s="2"/>
      <c r="I4" s="2"/>
      <c r="J4" s="2"/>
      <c r="K4" s="2" t="s">
        <v>455</v>
      </c>
      <c r="L4" t="s">
        <v>7</v>
      </c>
      <c r="M4" s="2"/>
      <c r="N4" s="2">
        <v>2.2520215363091004E-8</v>
      </c>
      <c r="O4" s="2"/>
      <c r="P4" s="2"/>
      <c r="Q4" s="2"/>
      <c r="R4" s="2"/>
      <c r="V4" s="1">
        <f t="shared" si="0"/>
        <v>1.4622191249835953E-8</v>
      </c>
      <c r="AB4" t="s">
        <v>224</v>
      </c>
      <c r="AC4">
        <v>350</v>
      </c>
      <c r="AD4" s="14"/>
      <c r="AE4" s="14"/>
      <c r="AF4" s="14"/>
      <c r="AG4" s="2">
        <v>1.168762876228104E-4</v>
      </c>
      <c r="AJ4" s="2"/>
      <c r="AK4" s="2"/>
      <c r="AL4" s="2"/>
      <c r="AM4" s="2"/>
      <c r="AN4" s="2"/>
      <c r="AO4" s="2"/>
      <c r="AP4" s="2"/>
      <c r="AQ4" s="2" t="s">
        <v>455</v>
      </c>
      <c r="AR4" s="2" t="s">
        <v>224</v>
      </c>
      <c r="AS4" s="2">
        <v>600</v>
      </c>
      <c r="AT4" s="2"/>
      <c r="AU4" s="2"/>
      <c r="AV4" s="2"/>
      <c r="AW4" s="2">
        <v>3.0844026879241778E-5</v>
      </c>
      <c r="AX4" s="2"/>
      <c r="AY4" s="2"/>
      <c r="AZ4" s="2"/>
      <c r="BA4" s="2"/>
      <c r="BB4" s="2"/>
      <c r="BC4" s="2"/>
      <c r="BD4" s="2"/>
      <c r="BE4" s="2"/>
      <c r="BF4" s="2">
        <f t="shared" ref="BF4:BF5" si="2">AG4-AW4</f>
        <v>8.6032260743568628E-5</v>
      </c>
      <c r="BG4" s="2"/>
      <c r="BH4" s="2"/>
      <c r="BI4" s="2"/>
      <c r="BJ4" s="2"/>
      <c r="BK4" s="2"/>
      <c r="BL4" s="18">
        <f t="shared" si="1"/>
        <v>0.16996172277071123</v>
      </c>
      <c r="BM4" s="2"/>
      <c r="BN4" s="2"/>
      <c r="BO4" s="2"/>
      <c r="BP4">
        <v>13.690702905566091</v>
      </c>
      <c r="BQ4" s="16">
        <v>74.199999999999989</v>
      </c>
      <c r="BT4" s="1"/>
    </row>
    <row r="5" spans="1:76" x14ac:dyDescent="0.25">
      <c r="A5" t="s">
        <v>456</v>
      </c>
      <c r="B5" t="s">
        <v>5</v>
      </c>
      <c r="C5" s="2"/>
      <c r="D5" s="2">
        <v>3.1649368082159237E-8</v>
      </c>
      <c r="E5" s="2"/>
      <c r="F5" s="2"/>
      <c r="G5" s="2"/>
      <c r="H5" s="2"/>
      <c r="I5" s="2"/>
      <c r="J5" s="2"/>
      <c r="K5" s="2" t="s">
        <v>456</v>
      </c>
      <c r="L5" t="s">
        <v>7</v>
      </c>
      <c r="M5" s="2"/>
      <c r="N5" s="2">
        <v>1.7525141939510789E-8</v>
      </c>
      <c r="O5" s="2"/>
      <c r="P5" s="2"/>
      <c r="Q5" s="2"/>
      <c r="R5" s="2"/>
      <c r="V5" s="1">
        <f t="shared" si="0"/>
        <v>1.4124226142648449E-8</v>
      </c>
      <c r="AB5" t="s">
        <v>224</v>
      </c>
      <c r="AC5">
        <v>350</v>
      </c>
      <c r="AD5" s="14"/>
      <c r="AE5" s="14"/>
      <c r="AF5" s="14"/>
      <c r="AG5" s="2">
        <v>2.0822195144173621E-4</v>
      </c>
      <c r="AJ5" s="2"/>
      <c r="AK5" s="2"/>
      <c r="AL5" s="2"/>
      <c r="AM5" s="2"/>
      <c r="AN5" s="2"/>
      <c r="AO5" s="2"/>
      <c r="AP5" s="2"/>
      <c r="AQ5" s="2" t="s">
        <v>456</v>
      </c>
      <c r="AR5" s="2" t="s">
        <v>224</v>
      </c>
      <c r="AS5" s="2">
        <v>600</v>
      </c>
      <c r="AT5" s="2"/>
      <c r="AU5" s="2"/>
      <c r="AV5" s="2"/>
      <c r="AW5" s="2">
        <v>5.7878625924054033E-5</v>
      </c>
      <c r="AX5" s="2"/>
      <c r="AY5" s="2"/>
      <c r="AZ5" s="2"/>
      <c r="BA5" s="2"/>
      <c r="BB5" s="2"/>
      <c r="BC5" s="2"/>
      <c r="BD5" s="2"/>
      <c r="BE5" s="2"/>
      <c r="BF5" s="2">
        <f t="shared" si="2"/>
        <v>1.5034332551768219E-4</v>
      </c>
      <c r="BG5" s="2"/>
      <c r="BH5" s="2"/>
      <c r="BI5" s="2"/>
      <c r="BJ5" s="2"/>
      <c r="BK5" s="2"/>
      <c r="BL5" s="18">
        <f t="shared" si="1"/>
        <v>9.3946479459690202E-2</v>
      </c>
      <c r="BM5" s="2"/>
      <c r="BN5" s="2"/>
      <c r="BO5" s="2"/>
      <c r="BP5">
        <v>6.8187114999957803</v>
      </c>
      <c r="BQ5" s="16">
        <v>74.529999999999987</v>
      </c>
      <c r="BT5" s="1"/>
    </row>
    <row r="6" spans="1:76" x14ac:dyDescent="0.25">
      <c r="A6" t="s">
        <v>4</v>
      </c>
      <c r="B6" t="s">
        <v>5</v>
      </c>
      <c r="C6" s="1">
        <v>3.5799999999999998E-3</v>
      </c>
      <c r="D6">
        <v>2.5122597397562219E-8</v>
      </c>
      <c r="F6" t="s">
        <v>4</v>
      </c>
      <c r="G6" t="s">
        <v>6</v>
      </c>
      <c r="H6" s="1">
        <v>2.2599999999999999E-3</v>
      </c>
      <c r="I6">
        <v>1.5833224561029886E-8</v>
      </c>
      <c r="K6" t="s">
        <v>4</v>
      </c>
      <c r="L6" t="s">
        <v>7</v>
      </c>
      <c r="M6" s="1">
        <v>1.9E-3</v>
      </c>
      <c r="N6" s="1">
        <v>1.3259828656509857E-8</v>
      </c>
      <c r="O6" s="1"/>
      <c r="P6" t="s">
        <v>4</v>
      </c>
      <c r="Q6" t="s">
        <v>446</v>
      </c>
      <c r="R6">
        <v>9.8702684867231436E-9</v>
      </c>
      <c r="T6">
        <f>D6-I6</f>
        <v>9.2893728365323335E-9</v>
      </c>
      <c r="V6" s="1">
        <f>D6-N6</f>
        <v>1.1862768741052362E-8</v>
      </c>
      <c r="X6">
        <f>D6-R6</f>
        <v>1.5252328910839074E-8</v>
      </c>
      <c r="AA6" t="s">
        <v>223</v>
      </c>
      <c r="AB6" t="s">
        <v>224</v>
      </c>
      <c r="AC6">
        <v>350</v>
      </c>
      <c r="AD6" s="1">
        <v>-1.3416317125001999E-4</v>
      </c>
      <c r="AE6" s="1">
        <v>-3.1202862700132302E-6</v>
      </c>
      <c r="AF6" s="1">
        <v>-3.8627052499393402E-6</v>
      </c>
      <c r="AG6">
        <f>SQRT(AD6^2+AE6^2+AF6^2)</f>
        <v>1.3425503043877697E-4</v>
      </c>
      <c r="AI6" t="s">
        <v>223</v>
      </c>
      <c r="AJ6" s="2" t="s">
        <v>224</v>
      </c>
      <c r="AK6" s="2">
        <v>550</v>
      </c>
      <c r="AL6" s="18">
        <v>-4.5000175799909097E-5</v>
      </c>
      <c r="AM6" s="18">
        <v>-4.1879298600066201E-6</v>
      </c>
      <c r="AN6" s="18">
        <v>-1.55828054994853E-6</v>
      </c>
      <c r="AO6" s="2">
        <f>SQRT(AL6^2+AM6^2+AN6^2)</f>
        <v>4.5221486229528184E-5</v>
      </c>
      <c r="AP6" s="2"/>
      <c r="AQ6" s="2" t="s">
        <v>223</v>
      </c>
      <c r="AR6" s="2" t="s">
        <v>224</v>
      </c>
      <c r="AS6" s="2">
        <v>600</v>
      </c>
      <c r="AT6" s="18">
        <v>-3.7158110349830001E-5</v>
      </c>
      <c r="AU6" s="18">
        <v>-3.0832319300363902E-6</v>
      </c>
      <c r="AV6" s="18">
        <v>-2.2840719499375101E-6</v>
      </c>
      <c r="AW6" s="2">
        <f t="shared" ref="AW6:AW24" si="3">SQRT(AT6^2+AU6^2+AV6^2)</f>
        <v>3.7355701955351217E-5</v>
      </c>
      <c r="AX6" s="2"/>
      <c r="AY6" s="2" t="s">
        <v>223</v>
      </c>
      <c r="AZ6" s="2" t="s">
        <v>224</v>
      </c>
      <c r="BA6" s="2">
        <v>800</v>
      </c>
      <c r="BB6" s="2">
        <v>1.6409265002074411E-5</v>
      </c>
      <c r="BC6" s="2"/>
      <c r="BD6" s="2">
        <f>AG6-AO6</f>
        <v>8.9033544209248791E-5</v>
      </c>
      <c r="BE6" s="2"/>
      <c r="BF6" s="2">
        <f>AG6-AW6</f>
        <v>9.6899328483425744E-5</v>
      </c>
      <c r="BG6" s="2"/>
      <c r="BH6" s="2">
        <f>AG6-BB6</f>
        <v>1.1784576543670255E-4</v>
      </c>
      <c r="BI6" s="2"/>
      <c r="BJ6" s="2">
        <f>T6*1000/BD6</f>
        <v>0.10433565145626714</v>
      </c>
      <c r="BK6" s="2"/>
      <c r="BL6" s="18">
        <f>V6*1000/BF6</f>
        <v>0.12242364242061227</v>
      </c>
      <c r="BM6" s="2"/>
      <c r="BN6" s="2">
        <f>X6*1000/BH6</f>
        <v>0.12942619409631162</v>
      </c>
      <c r="BO6" s="2"/>
      <c r="BP6">
        <v>7.1357102769676679</v>
      </c>
      <c r="BQ6" s="3">
        <v>74.73</v>
      </c>
      <c r="BR6">
        <v>10.95</v>
      </c>
      <c r="BT6" s="1">
        <v>3.6352999999999997E-7</v>
      </c>
      <c r="BV6" s="11">
        <f t="shared" ref="BV6:BV24" si="4">D6*1000/BR6/BT6</f>
        <v>6.3111741319766264</v>
      </c>
      <c r="BX6">
        <f>CORREL(BL6:BL218,BV6:BV218)</f>
        <v>0.87464093455815028</v>
      </c>
    </row>
    <row r="7" spans="1:76" x14ac:dyDescent="0.25">
      <c r="A7" t="s">
        <v>8</v>
      </c>
      <c r="B7" t="s">
        <v>5</v>
      </c>
      <c r="C7" s="1">
        <v>2.97E-3</v>
      </c>
      <c r="D7">
        <v>1.7817558755340194E-8</v>
      </c>
      <c r="F7" t="s">
        <v>8</v>
      </c>
      <c r="G7" t="s">
        <v>6</v>
      </c>
      <c r="H7" s="1">
        <v>1.6299999999999999E-3</v>
      </c>
      <c r="I7">
        <v>9.780661736303941E-9</v>
      </c>
      <c r="K7" t="s">
        <v>8</v>
      </c>
      <c r="L7" t="s">
        <v>7</v>
      </c>
      <c r="M7" s="1">
        <v>1.4599999999999999E-3</v>
      </c>
      <c r="N7">
        <v>8.7553711514703943E-9</v>
      </c>
      <c r="P7" t="s">
        <v>8</v>
      </c>
      <c r="Q7" t="s">
        <v>446</v>
      </c>
      <c r="R7">
        <v>6.4238929007261628E-9</v>
      </c>
      <c r="T7">
        <f t="shared" ref="T7:T24" si="5">D7-I7</f>
        <v>8.0368970190362529E-9</v>
      </c>
      <c r="V7" s="1">
        <f t="shared" ref="V7:V24" si="6">D7-N7</f>
        <v>9.0621876038697997E-9</v>
      </c>
      <c r="X7">
        <f t="shared" ref="X7:X70" si="7">D7-R7</f>
        <v>1.1393665854614031E-8</v>
      </c>
      <c r="AA7" t="s">
        <v>225</v>
      </c>
      <c r="AB7" t="s">
        <v>224</v>
      </c>
      <c r="AC7">
        <v>350</v>
      </c>
      <c r="AD7" s="1">
        <v>-1.44826261000447E-4</v>
      </c>
      <c r="AE7" s="1">
        <v>-2.93945517000496E-6</v>
      </c>
      <c r="AF7" s="1">
        <v>-2.7598328999016601E-6</v>
      </c>
      <c r="AG7">
        <f t="shared" ref="AG7:AG24" si="8">SQRT(AD7^2+AE7^2+AF7^2)</f>
        <v>1.4488237625640135E-4</v>
      </c>
      <c r="AI7" t="s">
        <v>225</v>
      </c>
      <c r="AJ7" t="s">
        <v>224</v>
      </c>
      <c r="AK7">
        <v>550</v>
      </c>
      <c r="AL7" s="1">
        <v>-4.5175660600458701E-5</v>
      </c>
      <c r="AM7" s="1">
        <v>-2.8358905099900701E-6</v>
      </c>
      <c r="AN7" s="1">
        <v>2.9924710008638899E-7</v>
      </c>
      <c r="AO7">
        <f t="shared" ref="AO7:AO24" si="9">SQRT(AL7^2+AM7^2+AN7^2)</f>
        <v>4.5265573391921137E-5</v>
      </c>
      <c r="AQ7" t="s">
        <v>225</v>
      </c>
      <c r="AR7" t="s">
        <v>224</v>
      </c>
      <c r="AS7">
        <v>600</v>
      </c>
      <c r="AT7" s="1">
        <v>-3.7304627775474502E-5</v>
      </c>
      <c r="AU7" s="1">
        <v>-4.1700687800033101E-6</v>
      </c>
      <c r="AV7" s="1">
        <v>4.73664000093741E-7</v>
      </c>
      <c r="AW7">
        <f t="shared" si="3"/>
        <v>3.7539966498142309E-5</v>
      </c>
      <c r="AY7" t="s">
        <v>225</v>
      </c>
      <c r="AZ7" t="s">
        <v>224</v>
      </c>
      <c r="BA7">
        <v>800</v>
      </c>
      <c r="BB7">
        <v>1.2747479008457274E-5</v>
      </c>
      <c r="BD7">
        <f t="shared" ref="BD7:BD24" si="10">AG7-AO7</f>
        <v>9.961680286448021E-5</v>
      </c>
      <c r="BF7">
        <f t="shared" ref="BF7:BF24" si="11">AG7-AW7</f>
        <v>1.0734240975825904E-4</v>
      </c>
      <c r="BH7">
        <f t="shared" ref="BH7:BH70" si="12">AG7-BB7</f>
        <v>1.3213489724794408E-4</v>
      </c>
      <c r="BJ7">
        <f t="shared" ref="BJ7:BJ70" si="13">T7*1000/BD7</f>
        <v>8.0678126459948082E-2</v>
      </c>
      <c r="BL7" s="1">
        <f t="shared" ref="BL7:BL70" si="14">V7*1000/BF7</f>
        <v>8.4423180216266241E-2</v>
      </c>
      <c r="BN7">
        <f t="shared" ref="BN7:BN70" si="15">X7*1000/BH7</f>
        <v>8.622753028849317E-2</v>
      </c>
      <c r="BP7">
        <v>5.2893208501651827</v>
      </c>
      <c r="BQ7" s="4">
        <v>74.750714285714295</v>
      </c>
      <c r="BR7">
        <v>11.47</v>
      </c>
      <c r="BT7" s="1">
        <v>3.3897000000000002E-7</v>
      </c>
      <c r="BV7" s="11">
        <f t="shared" si="4"/>
        <v>4.5827220606278924</v>
      </c>
    </row>
    <row r="8" spans="1:76" x14ac:dyDescent="0.25">
      <c r="A8" t="s">
        <v>9</v>
      </c>
      <c r="B8" t="s">
        <v>5</v>
      </c>
      <c r="C8" s="1">
        <v>2.8700000000000002E-3</v>
      </c>
      <c r="D8">
        <v>1.7210499702216667E-8</v>
      </c>
      <c r="F8" t="s">
        <v>9</v>
      </c>
      <c r="G8" t="s">
        <v>6</v>
      </c>
      <c r="H8" s="1">
        <v>2.0600000000000002E-3</v>
      </c>
      <c r="I8">
        <v>1.2383469990273324E-8</v>
      </c>
      <c r="K8" t="s">
        <v>9</v>
      </c>
      <c r="L8" t="s">
        <v>7</v>
      </c>
      <c r="M8" s="1">
        <v>1.89E-3</v>
      </c>
      <c r="N8">
        <v>1.1338659532766648E-8</v>
      </c>
      <c r="P8" t="s">
        <v>9</v>
      </c>
      <c r="Q8" t="s">
        <v>446</v>
      </c>
      <c r="R8">
        <v>9.1143521985931622E-9</v>
      </c>
      <c r="T8">
        <f t="shared" si="5"/>
        <v>4.8270297119433436E-9</v>
      </c>
      <c r="V8" s="1">
        <f t="shared" si="6"/>
        <v>5.8718401694500196E-9</v>
      </c>
      <c r="X8">
        <f t="shared" si="7"/>
        <v>8.0961475036235052E-9</v>
      </c>
      <c r="AA8" t="s">
        <v>226</v>
      </c>
      <c r="AB8" t="s">
        <v>224</v>
      </c>
      <c r="AC8">
        <v>350</v>
      </c>
      <c r="AD8" s="1">
        <v>-1.3687354460091699E-4</v>
      </c>
      <c r="AE8" s="1">
        <v>-4.31049042002978E-6</v>
      </c>
      <c r="AF8" s="1">
        <v>-3.3031896498566299E-6</v>
      </c>
      <c r="AG8">
        <f t="shared" si="8"/>
        <v>1.3698123448539694E-4</v>
      </c>
      <c r="AI8" t="s">
        <v>226</v>
      </c>
      <c r="AJ8" t="s">
        <v>224</v>
      </c>
      <c r="AK8">
        <v>550</v>
      </c>
      <c r="AL8" s="1">
        <v>-4.7480977176267297E-5</v>
      </c>
      <c r="AM8" s="1">
        <v>-5.1052838100314304E-6</v>
      </c>
      <c r="AN8" s="1">
        <v>-1.6040433998079199E-6</v>
      </c>
      <c r="AO8">
        <f t="shared" si="9"/>
        <v>4.778158716098339E-5</v>
      </c>
      <c r="AQ8" t="s">
        <v>226</v>
      </c>
      <c r="AR8" t="s">
        <v>224</v>
      </c>
      <c r="AS8">
        <v>600</v>
      </c>
      <c r="AT8" s="1">
        <v>-3.9901342876449099E-5</v>
      </c>
      <c r="AU8" s="1">
        <v>-4.4032742900099302E-6</v>
      </c>
      <c r="AV8" s="1">
        <v>-2.0207196998253798E-6</v>
      </c>
      <c r="AW8">
        <f t="shared" si="3"/>
        <v>4.0194393836980303E-5</v>
      </c>
      <c r="AY8" t="s">
        <v>226</v>
      </c>
      <c r="AZ8" t="s">
        <v>224</v>
      </c>
      <c r="BA8">
        <v>800</v>
      </c>
      <c r="BB8">
        <v>1.5591430570691714E-5</v>
      </c>
      <c r="BD8">
        <f t="shared" si="10"/>
        <v>8.9199647324413552E-5</v>
      </c>
      <c r="BF8">
        <f t="shared" si="11"/>
        <v>9.6786840648416646E-5</v>
      </c>
      <c r="BH8">
        <f t="shared" si="12"/>
        <v>1.2138980391470523E-4</v>
      </c>
      <c r="BJ8">
        <f t="shared" si="13"/>
        <v>5.411489682675244E-2</v>
      </c>
      <c r="BL8" s="1">
        <f t="shared" si="14"/>
        <v>6.0667753282492111E-2</v>
      </c>
      <c r="BN8">
        <f t="shared" si="15"/>
        <v>6.6695449226627623E-2</v>
      </c>
      <c r="BP8">
        <v>5.7358762860819343</v>
      </c>
      <c r="BQ8" s="4">
        <v>74.771428571428586</v>
      </c>
      <c r="BR8">
        <v>10.46</v>
      </c>
      <c r="BT8" s="1">
        <v>3.2865000000000002E-7</v>
      </c>
      <c r="BV8" s="11">
        <f t="shared" si="4"/>
        <v>5.0064301239925726</v>
      </c>
    </row>
    <row r="9" spans="1:76" x14ac:dyDescent="0.25">
      <c r="A9" t="s">
        <v>10</v>
      </c>
      <c r="B9" t="s">
        <v>5</v>
      </c>
      <c r="C9" s="1">
        <v>1.97E-3</v>
      </c>
      <c r="D9">
        <v>1.1817853612225868E-8</v>
      </c>
      <c r="F9" t="s">
        <v>10</v>
      </c>
      <c r="G9" t="s">
        <v>6</v>
      </c>
      <c r="H9" s="1">
        <v>1.23E-3</v>
      </c>
      <c r="I9">
        <v>7.3781909029246464E-9</v>
      </c>
      <c r="K9" t="s">
        <v>10</v>
      </c>
      <c r="L9" t="s">
        <v>7</v>
      </c>
      <c r="M9" s="1">
        <v>1.14E-3</v>
      </c>
      <c r="N9">
        <v>6.8413522055219464E-9</v>
      </c>
      <c r="P9" t="s">
        <v>10</v>
      </c>
      <c r="Q9" t="s">
        <v>446</v>
      </c>
      <c r="R9">
        <v>4.9558782269139747E-9</v>
      </c>
      <c r="T9">
        <f t="shared" si="5"/>
        <v>4.439662709301222E-9</v>
      </c>
      <c r="V9" s="1">
        <f t="shared" si="6"/>
        <v>4.976501406703922E-9</v>
      </c>
      <c r="X9">
        <f t="shared" si="7"/>
        <v>6.8619753853118938E-9</v>
      </c>
      <c r="AA9" t="s">
        <v>227</v>
      </c>
      <c r="AB9" t="s">
        <v>224</v>
      </c>
      <c r="AC9">
        <v>350</v>
      </c>
      <c r="AD9" s="1">
        <v>-1.3790920565130699E-4</v>
      </c>
      <c r="AE9" s="1">
        <v>-2.5413553800281201E-6</v>
      </c>
      <c r="AF9" s="1">
        <v>-2.2645826498042501E-6</v>
      </c>
      <c r="AG9">
        <f t="shared" si="8"/>
        <v>1.3795120813215041E-4</v>
      </c>
      <c r="AI9" t="s">
        <v>227</v>
      </c>
      <c r="AJ9" t="s">
        <v>224</v>
      </c>
      <c r="AK9">
        <v>550</v>
      </c>
      <c r="AL9" s="1">
        <v>-4.4733941301229698E-5</v>
      </c>
      <c r="AM9" s="1">
        <v>-1.9661496600314298E-6</v>
      </c>
      <c r="AN9" s="1">
        <v>4.0471135019575302E-7</v>
      </c>
      <c r="AO9">
        <f t="shared" si="9"/>
        <v>4.4778957559376962E-5</v>
      </c>
      <c r="AQ9" t="s">
        <v>227</v>
      </c>
      <c r="AR9" t="s">
        <v>224</v>
      </c>
      <c r="AS9">
        <v>600</v>
      </c>
      <c r="AT9" s="1">
        <v>-3.7137811076172398E-5</v>
      </c>
      <c r="AU9" s="1">
        <v>-9.6178462000496293E-7</v>
      </c>
      <c r="AV9" s="1">
        <v>1.4555300182886799E-8</v>
      </c>
      <c r="AW9">
        <f t="shared" si="3"/>
        <v>3.7150265854250827E-5</v>
      </c>
      <c r="AY9" t="s">
        <v>227</v>
      </c>
      <c r="AZ9" t="s">
        <v>224</v>
      </c>
      <c r="BA9">
        <v>800</v>
      </c>
      <c r="BB9">
        <v>1.3283943253105121E-5</v>
      </c>
      <c r="BD9">
        <f t="shared" si="10"/>
        <v>9.3172250572773449E-5</v>
      </c>
      <c r="BF9">
        <f t="shared" si="11"/>
        <v>1.0080094227789958E-4</v>
      </c>
      <c r="BH9">
        <f t="shared" si="12"/>
        <v>1.2466726487904528E-4</v>
      </c>
      <c r="BJ9">
        <f t="shared" si="13"/>
        <v>4.7650053336787901E-2</v>
      </c>
      <c r="BL9" s="1">
        <f t="shared" si="14"/>
        <v>4.936959213123359E-2</v>
      </c>
      <c r="BN9">
        <f t="shared" si="15"/>
        <v>5.5042319184346607E-2</v>
      </c>
      <c r="BP9">
        <v>3.9338372292487356</v>
      </c>
      <c r="BQ9" s="4">
        <v>74.792142857142878</v>
      </c>
      <c r="BR9">
        <v>10.66</v>
      </c>
      <c r="BT9" s="1">
        <v>3.3561000000000003E-7</v>
      </c>
      <c r="BV9" s="11">
        <f t="shared" si="4"/>
        <v>3.3032885240596226</v>
      </c>
    </row>
    <row r="10" spans="1:76" x14ac:dyDescent="0.25">
      <c r="A10" t="s">
        <v>11</v>
      </c>
      <c r="B10" t="s">
        <v>5</v>
      </c>
      <c r="C10" s="1">
        <v>3.9199999999999999E-3</v>
      </c>
      <c r="D10">
        <v>2.3526472323746289E-8</v>
      </c>
      <c r="F10" t="s">
        <v>11</v>
      </c>
      <c r="G10" t="s">
        <v>6</v>
      </c>
      <c r="H10" s="1">
        <v>2.3E-3</v>
      </c>
      <c r="I10">
        <v>1.3809843192447914E-8</v>
      </c>
      <c r="K10" t="s">
        <v>11</v>
      </c>
      <c r="L10" t="s">
        <v>7</v>
      </c>
      <c r="M10" s="1">
        <v>2.2599999999999999E-3</v>
      </c>
      <c r="N10">
        <v>1.3529512186328079E-8</v>
      </c>
      <c r="P10" t="s">
        <v>11</v>
      </c>
      <c r="Q10" t="s">
        <v>446</v>
      </c>
      <c r="R10">
        <v>1.0134776761231596E-8</v>
      </c>
      <c r="T10">
        <f t="shared" si="5"/>
        <v>9.7166291312983748E-9</v>
      </c>
      <c r="V10" s="1">
        <f t="shared" si="6"/>
        <v>9.9969601374182105E-9</v>
      </c>
      <c r="X10">
        <f t="shared" si="7"/>
        <v>1.3391695562514693E-8</v>
      </c>
      <c r="AA10" t="s">
        <v>228</v>
      </c>
      <c r="AB10" t="s">
        <v>224</v>
      </c>
      <c r="AC10">
        <v>350</v>
      </c>
      <c r="AD10" s="1">
        <v>-1.2864137042638E-4</v>
      </c>
      <c r="AE10" s="1">
        <v>-4.8755567700049603E-6</v>
      </c>
      <c r="AF10" s="1">
        <v>-3.4732892997674899E-6</v>
      </c>
      <c r="AG10">
        <f t="shared" si="8"/>
        <v>1.2878057686450446E-4</v>
      </c>
      <c r="AI10" t="s">
        <v>228</v>
      </c>
      <c r="AJ10" t="s">
        <v>224</v>
      </c>
      <c r="AK10">
        <v>550</v>
      </c>
      <c r="AL10" s="1">
        <v>-3.7316966551322601E-5</v>
      </c>
      <c r="AM10" s="1">
        <v>-4.7314099600148898E-6</v>
      </c>
      <c r="AN10" s="1">
        <v>-1.6511630997766799E-6</v>
      </c>
      <c r="AO10">
        <f t="shared" si="9"/>
        <v>3.76519398223295E-5</v>
      </c>
      <c r="AQ10" t="s">
        <v>228</v>
      </c>
      <c r="AR10" t="s">
        <v>224</v>
      </c>
      <c r="AS10">
        <v>600</v>
      </c>
      <c r="AT10" s="1">
        <v>-3.2100274001504497E-5</v>
      </c>
      <c r="AU10" s="1">
        <v>-4.7685136400099303E-6</v>
      </c>
      <c r="AV10" s="1">
        <v>-1.0085095997775999E-6</v>
      </c>
      <c r="AW10">
        <f t="shared" si="3"/>
        <v>3.2468190662854464E-5</v>
      </c>
      <c r="AY10" t="s">
        <v>228</v>
      </c>
      <c r="AZ10" t="s">
        <v>224</v>
      </c>
      <c r="BA10">
        <v>800</v>
      </c>
      <c r="BB10">
        <v>1.2678121952925422E-5</v>
      </c>
      <c r="BD10">
        <f t="shared" si="10"/>
        <v>9.1128637042174951E-5</v>
      </c>
      <c r="BF10">
        <f t="shared" si="11"/>
        <v>9.6312386201649988E-5</v>
      </c>
      <c r="BH10">
        <f t="shared" si="12"/>
        <v>1.1610245491157904E-4</v>
      </c>
      <c r="BJ10">
        <f t="shared" si="13"/>
        <v>0.10662541926092291</v>
      </c>
      <c r="BL10" s="1">
        <f t="shared" si="14"/>
        <v>0.1037972428228234</v>
      </c>
      <c r="BN10">
        <f t="shared" si="15"/>
        <v>0.11534377608736611</v>
      </c>
      <c r="BP10">
        <v>7.9147301163839767</v>
      </c>
      <c r="BQ10" s="4">
        <v>74.812857142857169</v>
      </c>
      <c r="BR10">
        <v>10.7</v>
      </c>
      <c r="BT10" s="1">
        <v>3.1800999999999997E-7</v>
      </c>
      <c r="BV10" s="11">
        <f t="shared" si="4"/>
        <v>6.9140458828063345</v>
      </c>
    </row>
    <row r="11" spans="1:76" x14ac:dyDescent="0.25">
      <c r="A11" t="s">
        <v>12</v>
      </c>
      <c r="B11" t="s">
        <v>5</v>
      </c>
      <c r="C11" s="1">
        <v>3.7499999999999999E-3</v>
      </c>
      <c r="D11">
        <v>2.6249068554903047E-8</v>
      </c>
      <c r="F11" t="s">
        <v>12</v>
      </c>
      <c r="G11" t="s">
        <v>6</v>
      </c>
      <c r="H11" s="1">
        <v>2.2599999999999999E-3</v>
      </c>
      <c r="I11">
        <v>1.5828850242516036E-8</v>
      </c>
      <c r="K11" t="s">
        <v>12</v>
      </c>
      <c r="L11" t="s">
        <v>7</v>
      </c>
      <c r="M11" s="1">
        <v>2.1900000000000001E-3</v>
      </c>
      <c r="N11">
        <v>1.528728229607866E-8</v>
      </c>
      <c r="P11" t="s">
        <v>12</v>
      </c>
      <c r="Q11" t="s">
        <v>446</v>
      </c>
      <c r="R11">
        <v>1.098991355743984E-8</v>
      </c>
      <c r="T11">
        <f t="shared" si="5"/>
        <v>1.0420218312387012E-8</v>
      </c>
      <c r="V11" s="1">
        <f t="shared" si="6"/>
        <v>1.0961786258824387E-8</v>
      </c>
      <c r="X11">
        <f t="shared" si="7"/>
        <v>1.5259154997463207E-8</v>
      </c>
      <c r="AA11" t="s">
        <v>229</v>
      </c>
      <c r="AB11" t="s">
        <v>224</v>
      </c>
      <c r="AC11">
        <v>350</v>
      </c>
      <c r="AD11" s="1">
        <v>-1.42591925552584E-4</v>
      </c>
      <c r="AE11" s="1">
        <v>-5.7587921100148902E-6</v>
      </c>
      <c r="AF11" s="1">
        <v>-4.1219869496682299E-6</v>
      </c>
      <c r="AG11">
        <f t="shared" si="8"/>
        <v>1.4276768435389454E-4</v>
      </c>
      <c r="AI11" t="s">
        <v>229</v>
      </c>
      <c r="AJ11" t="s">
        <v>224</v>
      </c>
      <c r="AK11">
        <v>550</v>
      </c>
      <c r="AL11" s="1">
        <v>-4.6165725676783302E-5</v>
      </c>
      <c r="AM11">
        <v>-5.9064914000000003E-6</v>
      </c>
      <c r="AN11" s="1">
        <v>-3.1719452497426698E-6</v>
      </c>
      <c r="AO11">
        <f t="shared" si="9"/>
        <v>4.6649995761946735E-5</v>
      </c>
      <c r="AQ11" t="s">
        <v>229</v>
      </c>
      <c r="AR11" t="s">
        <v>224</v>
      </c>
      <c r="AS11">
        <v>600</v>
      </c>
      <c r="AT11" s="1">
        <v>-3.7782788476700203E-5</v>
      </c>
      <c r="AU11" s="1">
        <v>-5.8518226799950403E-6</v>
      </c>
      <c r="AV11" s="1">
        <v>-3.2406511997399098E-6</v>
      </c>
      <c r="AW11">
        <f t="shared" si="3"/>
        <v>3.8370362963510647E-5</v>
      </c>
      <c r="AY11" t="s">
        <v>229</v>
      </c>
      <c r="AZ11" t="s">
        <v>224</v>
      </c>
      <c r="BA11">
        <v>800</v>
      </c>
      <c r="BB11">
        <v>1.6009465157123992E-5</v>
      </c>
      <c r="BD11">
        <f t="shared" si="10"/>
        <v>9.6117688591947813E-5</v>
      </c>
      <c r="BF11">
        <f t="shared" si="11"/>
        <v>1.0439732139038389E-4</v>
      </c>
      <c r="BH11">
        <f t="shared" si="12"/>
        <v>1.2675821919677055E-4</v>
      </c>
      <c r="BJ11">
        <f t="shared" si="13"/>
        <v>0.10841103718821592</v>
      </c>
      <c r="BL11" s="1">
        <f t="shared" si="14"/>
        <v>0.1050006466912482</v>
      </c>
      <c r="BN11">
        <f t="shared" si="15"/>
        <v>0.12038000450113587</v>
      </c>
      <c r="BP11">
        <v>7.9752738250392801</v>
      </c>
      <c r="BQ11" s="4">
        <v>74.83357142857146</v>
      </c>
      <c r="BR11">
        <v>11.81</v>
      </c>
      <c r="BT11" s="1">
        <v>3.1231999999999998E-7</v>
      </c>
      <c r="BV11" s="11">
        <f t="shared" si="4"/>
        <v>7.1164631281207935</v>
      </c>
    </row>
    <row r="12" spans="1:76" x14ac:dyDescent="0.25">
      <c r="A12" t="s">
        <v>13</v>
      </c>
      <c r="B12" t="s">
        <v>5</v>
      </c>
      <c r="C12" s="1">
        <v>3.14E-3</v>
      </c>
      <c r="D12">
        <v>2.2017275035753174E-8</v>
      </c>
      <c r="F12" t="s">
        <v>13</v>
      </c>
      <c r="G12" t="s">
        <v>6</v>
      </c>
      <c r="H12" s="1">
        <v>1.9499999999999999E-3</v>
      </c>
      <c r="I12">
        <v>1.3684297570573362E-8</v>
      </c>
      <c r="K12" t="s">
        <v>13</v>
      </c>
      <c r="L12" t="s">
        <v>7</v>
      </c>
      <c r="M12" s="1">
        <v>1.89E-3</v>
      </c>
      <c r="N12">
        <v>1.3248871650068922E-8</v>
      </c>
      <c r="P12" t="s">
        <v>13</v>
      </c>
      <c r="Q12" t="s">
        <v>446</v>
      </c>
      <c r="R12">
        <v>8.8925150548087358E-9</v>
      </c>
      <c r="T12">
        <f t="shared" si="5"/>
        <v>8.3329774651798126E-9</v>
      </c>
      <c r="V12" s="1">
        <f t="shared" si="6"/>
        <v>8.7684033856842522E-9</v>
      </c>
      <c r="X12">
        <f t="shared" si="7"/>
        <v>1.3124759980944438E-8</v>
      </c>
      <c r="AA12" t="s">
        <v>230</v>
      </c>
      <c r="AB12" t="s">
        <v>224</v>
      </c>
      <c r="AC12">
        <v>350</v>
      </c>
      <c r="AD12" s="1">
        <v>-1.43784762251574E-4</v>
      </c>
      <c r="AE12" s="1">
        <v>-6.0270043500248197E-6</v>
      </c>
      <c r="AF12" s="1">
        <v>-3.6330275497840299E-6</v>
      </c>
      <c r="AG12">
        <f t="shared" si="8"/>
        <v>1.4395687384197522E-4</v>
      </c>
      <c r="AI12" t="s">
        <v>230</v>
      </c>
      <c r="AJ12" t="s">
        <v>224</v>
      </c>
      <c r="AK12">
        <v>550</v>
      </c>
      <c r="AL12" s="1">
        <v>-4.60010317766567E-5</v>
      </c>
      <c r="AM12" s="1">
        <v>-5.6877425100231596E-6</v>
      </c>
      <c r="AN12" s="1">
        <v>-1.5984926497647301E-6</v>
      </c>
      <c r="AO12">
        <f t="shared" si="9"/>
        <v>4.6378880087046692E-5</v>
      </c>
      <c r="AQ12" t="s">
        <v>230</v>
      </c>
      <c r="AR12" t="s">
        <v>224</v>
      </c>
      <c r="AS12">
        <v>600</v>
      </c>
      <c r="AT12" s="1">
        <v>-3.6763358002022497E-5</v>
      </c>
      <c r="AU12" s="1">
        <v>-5.1191236800198504E-6</v>
      </c>
      <c r="AV12" s="1">
        <v>-1.0789424497445101E-6</v>
      </c>
      <c r="AW12">
        <f t="shared" si="3"/>
        <v>3.7133731776459963E-5</v>
      </c>
      <c r="AY12" t="s">
        <v>230</v>
      </c>
      <c r="AZ12" t="s">
        <v>224</v>
      </c>
      <c r="BA12">
        <v>800</v>
      </c>
      <c r="BB12">
        <v>1.6047025657027949E-5</v>
      </c>
      <c r="BD12">
        <f t="shared" si="10"/>
        <v>9.757799375492853E-5</v>
      </c>
      <c r="BF12">
        <f t="shared" si="11"/>
        <v>1.0682314206551525E-4</v>
      </c>
      <c r="BH12">
        <f t="shared" si="12"/>
        <v>1.2790984818494727E-4</v>
      </c>
      <c r="BJ12">
        <f t="shared" si="13"/>
        <v>8.5398122512217817E-2</v>
      </c>
      <c r="BL12" s="1">
        <f t="shared" si="14"/>
        <v>8.2083368979228674E-2</v>
      </c>
      <c r="BN12">
        <f t="shared" si="15"/>
        <v>0.10260945632557626</v>
      </c>
      <c r="BP12">
        <v>6.8259194531341567</v>
      </c>
      <c r="BQ12" s="4">
        <v>74.854285714285751</v>
      </c>
      <c r="BR12">
        <v>11.93</v>
      </c>
      <c r="BT12" s="1">
        <v>3.2567999999999999E-7</v>
      </c>
      <c r="BV12" s="11">
        <f t="shared" si="4"/>
        <v>5.6667236589701844</v>
      </c>
    </row>
    <row r="13" spans="1:76" x14ac:dyDescent="0.25">
      <c r="A13" t="s">
        <v>14</v>
      </c>
      <c r="B13" t="s">
        <v>5</v>
      </c>
      <c r="C13" s="1">
        <v>3.0999999999999999E-3</v>
      </c>
      <c r="D13">
        <v>2.1715296452040438E-8</v>
      </c>
      <c r="F13" t="s">
        <v>14</v>
      </c>
      <c r="G13" t="s">
        <v>6</v>
      </c>
      <c r="H13" s="1">
        <v>1.99E-3</v>
      </c>
      <c r="I13">
        <v>1.3970744432563356E-8</v>
      </c>
      <c r="K13" t="s">
        <v>14</v>
      </c>
      <c r="L13" t="s">
        <v>7</v>
      </c>
      <c r="M13" s="1">
        <v>1.6800000000000001E-3</v>
      </c>
      <c r="N13">
        <v>1.1763460375246733E-8</v>
      </c>
      <c r="P13" t="s">
        <v>14</v>
      </c>
      <c r="Q13" t="s">
        <v>446</v>
      </c>
      <c r="R13">
        <v>8.120537174349983E-9</v>
      </c>
      <c r="T13">
        <f t="shared" si="5"/>
        <v>7.7445520194770829E-9</v>
      </c>
      <c r="V13" s="1">
        <f t="shared" si="6"/>
        <v>9.9518360767937054E-9</v>
      </c>
      <c r="X13">
        <f t="shared" si="7"/>
        <v>1.3594759277690455E-8</v>
      </c>
      <c r="AA13" t="s">
        <v>231</v>
      </c>
      <c r="AB13" t="s">
        <v>224</v>
      </c>
      <c r="AC13">
        <v>350</v>
      </c>
      <c r="AD13" s="1">
        <v>-1.3337941580149299E-4</v>
      </c>
      <c r="AE13" s="1">
        <v>-3.5101956200215101E-6</v>
      </c>
      <c r="AF13" s="1">
        <v>-4.7381201997950604E-6</v>
      </c>
      <c r="AG13">
        <f t="shared" si="8"/>
        <v>1.3350969933254318E-4</v>
      </c>
      <c r="AI13" t="s">
        <v>231</v>
      </c>
      <c r="AJ13" t="s">
        <v>224</v>
      </c>
      <c r="AK13">
        <v>550</v>
      </c>
      <c r="AL13" s="1">
        <v>-3.9408720601992803E-5</v>
      </c>
      <c r="AM13" s="1">
        <v>-3.1744615900512799E-6</v>
      </c>
      <c r="AN13" s="1">
        <v>-1.4978390497417501E-6</v>
      </c>
      <c r="AO13">
        <f t="shared" si="9"/>
        <v>3.9564731614047051E-5</v>
      </c>
      <c r="AQ13" t="s">
        <v>231</v>
      </c>
      <c r="AR13" t="s">
        <v>224</v>
      </c>
      <c r="AS13">
        <v>600</v>
      </c>
      <c r="AT13" s="1">
        <v>-3.0998673477528598E-5</v>
      </c>
      <c r="AU13" s="1">
        <v>-9.0908950004962801E-7</v>
      </c>
      <c r="AV13" s="1">
        <v>-2.0647556497169402E-6</v>
      </c>
      <c r="AW13">
        <f t="shared" si="3"/>
        <v>3.1080659854298033E-5</v>
      </c>
      <c r="AY13" t="s">
        <v>231</v>
      </c>
      <c r="AZ13" t="s">
        <v>224</v>
      </c>
      <c r="BA13">
        <v>800</v>
      </c>
      <c r="BB13">
        <v>1.1053812282234245E-5</v>
      </c>
      <c r="BD13">
        <f t="shared" si="10"/>
        <v>9.3944967718496123E-5</v>
      </c>
      <c r="BF13">
        <f t="shared" si="11"/>
        <v>1.0242903947824515E-4</v>
      </c>
      <c r="BH13">
        <f t="shared" si="12"/>
        <v>1.2245588705030893E-4</v>
      </c>
      <c r="BJ13">
        <f t="shared" si="13"/>
        <v>8.2437114063240197E-2</v>
      </c>
      <c r="BL13" s="1">
        <f t="shared" si="14"/>
        <v>9.7158346182748004E-2</v>
      </c>
      <c r="BN13">
        <f t="shared" si="15"/>
        <v>0.11101760483026249</v>
      </c>
      <c r="BP13">
        <v>6.3912731660181086</v>
      </c>
      <c r="BQ13" s="3">
        <v>74.88</v>
      </c>
      <c r="BR13">
        <v>11.62</v>
      </c>
      <c r="BT13" s="1">
        <v>3.1222000000000003E-7</v>
      </c>
      <c r="BV13" s="11">
        <f t="shared" si="4"/>
        <v>5.9854790517544165</v>
      </c>
    </row>
    <row r="14" spans="1:76" x14ac:dyDescent="0.25">
      <c r="A14" t="s">
        <v>15</v>
      </c>
      <c r="B14" t="s">
        <v>5</v>
      </c>
      <c r="C14" s="1">
        <v>3.5599999999999998E-3</v>
      </c>
      <c r="D14">
        <v>2.1363007747037872E-8</v>
      </c>
      <c r="F14" t="s">
        <v>15</v>
      </c>
      <c r="G14" t="s">
        <v>6</v>
      </c>
      <c r="H14" s="1">
        <v>2.2899999999999999E-3</v>
      </c>
      <c r="I14">
        <v>1.3743809661080147E-8</v>
      </c>
      <c r="K14" t="s">
        <v>15</v>
      </c>
      <c r="L14" t="s">
        <v>7</v>
      </c>
      <c r="M14" s="1">
        <v>2.15E-3</v>
      </c>
      <c r="N14">
        <v>1.2915421170058683E-8</v>
      </c>
      <c r="P14" t="s">
        <v>15</v>
      </c>
      <c r="Q14" t="s">
        <v>446</v>
      </c>
      <c r="R14">
        <v>8.0395413426388947E-9</v>
      </c>
      <c r="T14">
        <f t="shared" si="5"/>
        <v>7.6191980859577246E-9</v>
      </c>
      <c r="V14" s="1">
        <f t="shared" si="6"/>
        <v>8.4475865769791892E-9</v>
      </c>
      <c r="X14">
        <f t="shared" si="7"/>
        <v>1.3323466404398977E-8</v>
      </c>
      <c r="AA14" t="s">
        <v>232</v>
      </c>
      <c r="AB14" t="s">
        <v>224</v>
      </c>
      <c r="AC14">
        <v>350</v>
      </c>
      <c r="AD14" s="1">
        <v>-1.18398462402238E-4</v>
      </c>
      <c r="AE14" s="1">
        <v>-2.9751773300446599E-6</v>
      </c>
      <c r="AF14" s="1">
        <v>-2.5621028497527798E-6</v>
      </c>
      <c r="AG14">
        <f t="shared" si="8"/>
        <v>1.1846354692635236E-4</v>
      </c>
      <c r="AI14" t="s">
        <v>232</v>
      </c>
      <c r="AJ14" t="s">
        <v>224</v>
      </c>
      <c r="AK14">
        <v>550</v>
      </c>
      <c r="AL14" s="1">
        <v>-3.76032792022123E-5</v>
      </c>
      <c r="AM14" s="1">
        <v>-3.3043984800612101E-6</v>
      </c>
      <c r="AN14" s="1">
        <v>-1.63895144974175E-6</v>
      </c>
      <c r="AO14">
        <f t="shared" si="9"/>
        <v>3.7783750712828572E-5</v>
      </c>
      <c r="AQ14" t="s">
        <v>232</v>
      </c>
      <c r="AR14" t="s">
        <v>224</v>
      </c>
      <c r="AS14">
        <v>600</v>
      </c>
      <c r="AT14" s="1">
        <v>-3.0696307152194499E-5</v>
      </c>
      <c r="AU14" s="1">
        <v>-3.61704139000166E-6</v>
      </c>
      <c r="AV14" s="1">
        <v>-2.4048315997454299E-6</v>
      </c>
      <c r="AW14">
        <f t="shared" si="3"/>
        <v>3.100208825582539E-5</v>
      </c>
      <c r="AY14" t="s">
        <v>232</v>
      </c>
      <c r="AZ14" t="s">
        <v>224</v>
      </c>
      <c r="BA14">
        <v>800</v>
      </c>
      <c r="BB14">
        <v>1.2807572188290543E-5</v>
      </c>
      <c r="BD14">
        <f t="shared" si="10"/>
        <v>8.0679796213523788E-5</v>
      </c>
      <c r="BF14">
        <f t="shared" si="11"/>
        <v>8.7461458670526969E-5</v>
      </c>
      <c r="BH14">
        <f t="shared" si="12"/>
        <v>1.0565597473806182E-4</v>
      </c>
      <c r="BJ14">
        <f t="shared" si="13"/>
        <v>9.4437497905833473E-2</v>
      </c>
      <c r="BL14" s="1">
        <f t="shared" si="14"/>
        <v>9.6586390227057617E-2</v>
      </c>
      <c r="BN14">
        <f t="shared" si="15"/>
        <v>0.12610234714534599</v>
      </c>
      <c r="BP14">
        <v>7.5568524881977934</v>
      </c>
      <c r="BQ14" s="4">
        <v>74.901666666666657</v>
      </c>
      <c r="BR14">
        <v>10</v>
      </c>
      <c r="BT14" s="1">
        <v>3.1435000000000001E-7</v>
      </c>
      <c r="BV14" s="11">
        <f t="shared" si="4"/>
        <v>6.7959305700772612</v>
      </c>
    </row>
    <row r="15" spans="1:76" x14ac:dyDescent="0.25">
      <c r="A15" t="s">
        <v>16</v>
      </c>
      <c r="B15" t="s">
        <v>5</v>
      </c>
      <c r="C15" s="1">
        <v>3.3500000000000001E-3</v>
      </c>
      <c r="D15">
        <v>2.0126009937391961E-8</v>
      </c>
      <c r="F15" t="s">
        <v>16</v>
      </c>
      <c r="G15" t="s">
        <v>6</v>
      </c>
      <c r="H15" s="1">
        <v>2.1800000000000001E-3</v>
      </c>
      <c r="I15">
        <v>1.3098770934709867E-8</v>
      </c>
      <c r="K15" t="s">
        <v>16</v>
      </c>
      <c r="L15" t="s">
        <v>7</v>
      </c>
      <c r="M15" s="1">
        <v>2.0699999999999998E-3</v>
      </c>
      <c r="N15">
        <v>1.2385906870310305E-8</v>
      </c>
      <c r="P15" t="s">
        <v>16</v>
      </c>
      <c r="Q15" t="s">
        <v>446</v>
      </c>
      <c r="R15">
        <v>8.394532506340063E-9</v>
      </c>
      <c r="T15">
        <f t="shared" si="5"/>
        <v>7.0272390026820942E-9</v>
      </c>
      <c r="V15" s="1">
        <f t="shared" si="6"/>
        <v>7.7401030670816559E-9</v>
      </c>
      <c r="X15">
        <f t="shared" si="7"/>
        <v>1.1731477431051898E-8</v>
      </c>
      <c r="AA15" t="s">
        <v>233</v>
      </c>
      <c r="AB15" t="s">
        <v>224</v>
      </c>
      <c r="AC15">
        <v>350</v>
      </c>
      <c r="AD15" s="1">
        <v>-1.23150748226479E-4</v>
      </c>
      <c r="AE15" s="1">
        <v>-6.0173583799785002E-6</v>
      </c>
      <c r="AF15" s="1">
        <v>-3.2555765497987298E-6</v>
      </c>
      <c r="AG15">
        <f t="shared" si="8"/>
        <v>1.2334064281203629E-4</v>
      </c>
      <c r="AI15" t="s">
        <v>233</v>
      </c>
      <c r="AJ15" t="s">
        <v>224</v>
      </c>
      <c r="AK15">
        <v>550</v>
      </c>
      <c r="AL15" s="1">
        <v>-3.9511366826445198E-5</v>
      </c>
      <c r="AM15" s="1">
        <v>-4.17899931999669E-6</v>
      </c>
      <c r="AN15" s="1">
        <v>-1.78438109979046E-6</v>
      </c>
      <c r="AO15">
        <f t="shared" si="9"/>
        <v>3.9771801062055714E-5</v>
      </c>
      <c r="AQ15" t="s">
        <v>233</v>
      </c>
      <c r="AR15" t="s">
        <v>224</v>
      </c>
      <c r="AS15">
        <v>600</v>
      </c>
      <c r="AT15" s="1">
        <v>-3.19391623263582E-5</v>
      </c>
      <c r="AU15" s="1">
        <v>-5.6584838899933804E-6</v>
      </c>
      <c r="AV15" s="1">
        <v>-1.07931249980333E-6</v>
      </c>
      <c r="AW15">
        <f t="shared" si="3"/>
        <v>3.2454482672121047E-5</v>
      </c>
      <c r="AY15" t="s">
        <v>233</v>
      </c>
      <c r="AZ15" t="s">
        <v>224</v>
      </c>
      <c r="BA15">
        <v>800</v>
      </c>
      <c r="BB15">
        <v>1.2574103175599825E-5</v>
      </c>
      <c r="BD15">
        <f t="shared" si="10"/>
        <v>8.3568841749980574E-5</v>
      </c>
      <c r="BF15">
        <f t="shared" si="11"/>
        <v>9.0886160139915241E-5</v>
      </c>
      <c r="BH15">
        <f t="shared" si="12"/>
        <v>1.1076653963643646E-4</v>
      </c>
      <c r="BJ15">
        <f t="shared" si="13"/>
        <v>8.4089223393882057E-2</v>
      </c>
      <c r="BL15" s="1">
        <f t="shared" si="14"/>
        <v>8.5162615024841057E-2</v>
      </c>
      <c r="BN15">
        <f t="shared" si="15"/>
        <v>0.10591174437296268</v>
      </c>
      <c r="BP15">
        <v>7.0581738722707614</v>
      </c>
      <c r="BQ15" s="4">
        <v>74.923333333333318</v>
      </c>
      <c r="BR15">
        <v>11.53</v>
      </c>
      <c r="BT15" s="1">
        <v>2.8801E-7</v>
      </c>
      <c r="BV15" s="11">
        <f t="shared" si="4"/>
        <v>6.0606723829943023</v>
      </c>
    </row>
    <row r="16" spans="1:76" x14ac:dyDescent="0.25">
      <c r="A16" t="s">
        <v>17</v>
      </c>
      <c r="B16" t="s">
        <v>5</v>
      </c>
      <c r="C16" s="1">
        <v>2.5699999999999998E-3</v>
      </c>
      <c r="D16">
        <v>1.5429650028435512E-8</v>
      </c>
      <c r="F16" t="s">
        <v>17</v>
      </c>
      <c r="G16" t="s">
        <v>6</v>
      </c>
      <c r="H16" s="1">
        <v>1.5200000000000001E-3</v>
      </c>
      <c r="I16">
        <v>9.121888839489331E-9</v>
      </c>
      <c r="K16" t="s">
        <v>17</v>
      </c>
      <c r="L16" t="s">
        <v>7</v>
      </c>
      <c r="M16" s="1">
        <v>1.2899999999999999E-3</v>
      </c>
      <c r="N16">
        <v>7.7401098183423732E-9</v>
      </c>
      <c r="P16" t="s">
        <v>17</v>
      </c>
      <c r="Q16" t="s">
        <v>446</v>
      </c>
      <c r="R16">
        <v>6.8413083544012251E-9</v>
      </c>
      <c r="T16">
        <f t="shared" si="5"/>
        <v>6.3077611889461813E-9</v>
      </c>
      <c r="V16" s="1">
        <f t="shared" si="6"/>
        <v>7.6895402100931391E-9</v>
      </c>
      <c r="X16">
        <f t="shared" si="7"/>
        <v>8.5883416740342863E-9</v>
      </c>
      <c r="AA16" t="s">
        <v>234</v>
      </c>
      <c r="AB16" t="s">
        <v>224</v>
      </c>
      <c r="AC16">
        <v>350</v>
      </c>
      <c r="AD16" s="1">
        <v>-1.11589448725607E-4</v>
      </c>
      <c r="AE16" s="1">
        <v>-3.13237457000496E-6</v>
      </c>
      <c r="AF16" s="1">
        <v>-3.9261071498649002E-6</v>
      </c>
      <c r="AG16">
        <f t="shared" si="8"/>
        <v>1.1170242233131699E-4</v>
      </c>
      <c r="AI16" t="s">
        <v>234</v>
      </c>
      <c r="AJ16" t="s">
        <v>224</v>
      </c>
      <c r="AK16">
        <v>550</v>
      </c>
      <c r="AL16" s="1">
        <v>-3.5951829250842197E-5</v>
      </c>
      <c r="AM16" s="1">
        <v>-2.9255906300115799E-6</v>
      </c>
      <c r="AN16" s="1">
        <v>-2.71518019982814E-6</v>
      </c>
      <c r="AO16">
        <f t="shared" si="9"/>
        <v>3.6172715000863053E-5</v>
      </c>
      <c r="AQ16" t="s">
        <v>234</v>
      </c>
      <c r="AR16" t="s">
        <v>224</v>
      </c>
      <c r="AS16">
        <v>600</v>
      </c>
      <c r="AT16" s="1">
        <v>-2.9149935800678099E-5</v>
      </c>
      <c r="AU16" s="1">
        <v>-3.31525328001985E-6</v>
      </c>
      <c r="AV16" s="1">
        <v>-1.6832340998474399E-6</v>
      </c>
      <c r="AW16">
        <f t="shared" si="3"/>
        <v>2.9386101111396633E-5</v>
      </c>
      <c r="AY16" t="s">
        <v>234</v>
      </c>
      <c r="AZ16" t="s">
        <v>224</v>
      </c>
      <c r="BA16">
        <v>800</v>
      </c>
      <c r="BB16">
        <v>1.1983680149706414E-5</v>
      </c>
      <c r="BD16">
        <f t="shared" si="10"/>
        <v>7.5529707330453935E-5</v>
      </c>
      <c r="BF16">
        <f t="shared" si="11"/>
        <v>8.2316321219920362E-5</v>
      </c>
      <c r="BH16">
        <f t="shared" si="12"/>
        <v>9.9718742181610585E-5</v>
      </c>
      <c r="BJ16">
        <f t="shared" si="13"/>
        <v>8.3513645317712784E-2</v>
      </c>
      <c r="BL16" s="1">
        <f t="shared" si="14"/>
        <v>9.3414526987295535E-2</v>
      </c>
      <c r="BN16">
        <f t="shared" si="15"/>
        <v>8.6125651869865719E-2</v>
      </c>
      <c r="BP16">
        <v>5.788291993395605</v>
      </c>
      <c r="BQ16" s="4">
        <v>74.944999999999979</v>
      </c>
      <c r="BR16">
        <v>9.35</v>
      </c>
      <c r="BT16" s="1">
        <v>3.1516000000000002E-7</v>
      </c>
      <c r="BV16" s="11">
        <f t="shared" si="4"/>
        <v>5.2361655970468819</v>
      </c>
    </row>
    <row r="17" spans="1:74" x14ac:dyDescent="0.25">
      <c r="A17" t="s">
        <v>18</v>
      </c>
      <c r="B17" t="s">
        <v>5</v>
      </c>
      <c r="C17" s="1">
        <v>2.4399999999999999E-3</v>
      </c>
      <c r="D17">
        <v>1.4628315008913364E-8</v>
      </c>
      <c r="F17" t="s">
        <v>18</v>
      </c>
      <c r="G17" t="s">
        <v>6</v>
      </c>
      <c r="H17" s="1">
        <v>1.56E-3</v>
      </c>
      <c r="I17">
        <v>9.3633951641485259E-9</v>
      </c>
      <c r="K17" t="s">
        <v>18</v>
      </c>
      <c r="L17" t="s">
        <v>7</v>
      </c>
      <c r="M17" s="1">
        <v>1.33E-3</v>
      </c>
      <c r="N17">
        <v>7.9753669765096073E-9</v>
      </c>
      <c r="P17" t="s">
        <v>18</v>
      </c>
      <c r="Q17" t="s">
        <v>446</v>
      </c>
      <c r="R17">
        <v>6.7170975875001242E-9</v>
      </c>
      <c r="T17">
        <f t="shared" si="5"/>
        <v>5.264919844764838E-9</v>
      </c>
      <c r="V17" s="1">
        <f t="shared" si="6"/>
        <v>6.6529480324037566E-9</v>
      </c>
      <c r="X17">
        <f t="shared" si="7"/>
        <v>7.9112174214132397E-9</v>
      </c>
      <c r="AA17" t="s">
        <v>235</v>
      </c>
      <c r="AB17" t="s">
        <v>224</v>
      </c>
      <c r="AC17">
        <v>350</v>
      </c>
      <c r="AD17" s="1">
        <v>-1.37250297375372E-4</v>
      </c>
      <c r="AE17" s="1">
        <v>-2.1819134800115798E-6</v>
      </c>
      <c r="AF17" s="1">
        <v>-2.0811611998410102E-6</v>
      </c>
      <c r="AG17">
        <f t="shared" si="8"/>
        <v>1.372834152692962E-4</v>
      </c>
      <c r="AI17" t="s">
        <v>235</v>
      </c>
      <c r="AJ17" t="s">
        <v>224</v>
      </c>
      <c r="AK17">
        <v>550</v>
      </c>
      <c r="AL17" s="1">
        <v>-4.3063695725176001E-5</v>
      </c>
      <c r="AM17" s="1">
        <v>-1.5596620700215099E-6</v>
      </c>
      <c r="AN17" s="1">
        <v>-2.0279973498888001E-6</v>
      </c>
      <c r="AO17">
        <f t="shared" si="9"/>
        <v>4.3139624575723437E-5</v>
      </c>
      <c r="AQ17" t="s">
        <v>235</v>
      </c>
      <c r="AR17" t="s">
        <v>224</v>
      </c>
      <c r="AS17">
        <v>600</v>
      </c>
      <c r="AT17" s="1">
        <v>-3.4429693200096898E-5</v>
      </c>
      <c r="AU17" s="1">
        <v>-9.5670260000827106E-7</v>
      </c>
      <c r="AV17" s="1">
        <v>-3.7979464988328301E-7</v>
      </c>
      <c r="AW17">
        <f t="shared" si="3"/>
        <v>3.4445076537783178E-5</v>
      </c>
      <c r="AY17" t="s">
        <v>235</v>
      </c>
      <c r="AZ17" t="s">
        <v>224</v>
      </c>
      <c r="BA17">
        <v>800</v>
      </c>
      <c r="BB17">
        <v>1.3624131517821236E-5</v>
      </c>
      <c r="BD17">
        <f t="shared" si="10"/>
        <v>9.414379069357276E-5</v>
      </c>
      <c r="BF17">
        <f t="shared" si="11"/>
        <v>1.0283833873151302E-4</v>
      </c>
      <c r="BH17">
        <f t="shared" si="12"/>
        <v>1.2365928375147496E-4</v>
      </c>
      <c r="BJ17">
        <f t="shared" si="13"/>
        <v>5.5924238932565914E-2</v>
      </c>
      <c r="BL17" s="1">
        <f t="shared" si="14"/>
        <v>6.4693266290240803E-2</v>
      </c>
      <c r="BN17">
        <f t="shared" si="15"/>
        <v>6.3975927899702703E-2</v>
      </c>
      <c r="BP17">
        <v>4.5092062774483441</v>
      </c>
      <c r="BQ17" s="4">
        <v>74.96666666666664</v>
      </c>
      <c r="BR17">
        <v>11.08</v>
      </c>
      <c r="BT17" s="1">
        <v>3.2053999999999998E-7</v>
      </c>
      <c r="BV17" s="11">
        <f t="shared" si="4"/>
        <v>4.1188152396129603</v>
      </c>
    </row>
    <row r="18" spans="1:74" x14ac:dyDescent="0.25">
      <c r="A18" t="s">
        <v>19</v>
      </c>
      <c r="B18" t="s">
        <v>5</v>
      </c>
      <c r="C18" s="1">
        <v>1.24E-3</v>
      </c>
      <c r="D18">
        <v>8.6771654357860438E-9</v>
      </c>
      <c r="F18" t="s">
        <v>19</v>
      </c>
      <c r="G18" t="s">
        <v>6</v>
      </c>
      <c r="H18" s="1">
        <v>9.5100000000000002E-4</v>
      </c>
      <c r="I18">
        <v>6.654547317436401E-9</v>
      </c>
      <c r="K18" t="s">
        <v>19</v>
      </c>
      <c r="L18" t="s">
        <v>7</v>
      </c>
      <c r="M18" s="1">
        <v>8.83E-4</v>
      </c>
      <c r="N18">
        <v>6.1783250966584792E-9</v>
      </c>
      <c r="P18" t="s">
        <v>19</v>
      </c>
      <c r="Q18" t="s">
        <v>446</v>
      </c>
      <c r="R18">
        <v>3.6661974851336094E-9</v>
      </c>
      <c r="T18">
        <f t="shared" si="5"/>
        <v>2.0226181183496428E-9</v>
      </c>
      <c r="V18" s="1">
        <f t="shared" si="6"/>
        <v>2.4988403391275646E-9</v>
      </c>
      <c r="X18">
        <f t="shared" si="7"/>
        <v>5.0109679506524345E-9</v>
      </c>
      <c r="AA18" t="s">
        <v>236</v>
      </c>
      <c r="AB18" t="s">
        <v>224</v>
      </c>
      <c r="AC18">
        <v>350</v>
      </c>
      <c r="AD18" s="1">
        <v>-1.66041745321692E-4</v>
      </c>
      <c r="AE18" s="1">
        <v>-5.5516627901009101E-6</v>
      </c>
      <c r="AF18" s="1">
        <v>-2.9578096498924699E-6</v>
      </c>
      <c r="AG18">
        <f t="shared" si="8"/>
        <v>1.6616085816802226E-4</v>
      </c>
      <c r="AI18" t="s">
        <v>236</v>
      </c>
      <c r="AJ18" t="s">
        <v>224</v>
      </c>
      <c r="AK18">
        <v>550</v>
      </c>
      <c r="AL18" s="1">
        <v>-5.2032039249883399E-5</v>
      </c>
      <c r="AM18" s="1">
        <v>-7.6378566700049601E-6</v>
      </c>
      <c r="AN18" s="1">
        <v>-9.7902894990717795E-7</v>
      </c>
      <c r="AO18">
        <f t="shared" si="9"/>
        <v>5.2598749611542117E-5</v>
      </c>
      <c r="AQ18" t="s">
        <v>236</v>
      </c>
      <c r="AR18" t="s">
        <v>224</v>
      </c>
      <c r="AS18">
        <v>600</v>
      </c>
      <c r="AT18" s="1">
        <v>-4.2449498922635498E-5</v>
      </c>
      <c r="AU18" s="1">
        <v>-5.5483323400099297E-6</v>
      </c>
      <c r="AV18" s="1">
        <v>-1.05698614991361E-6</v>
      </c>
      <c r="AW18">
        <f t="shared" si="3"/>
        <v>4.2823605292632023E-5</v>
      </c>
      <c r="AY18" t="s">
        <v>236</v>
      </c>
      <c r="AZ18" t="s">
        <v>224</v>
      </c>
      <c r="BA18">
        <v>800</v>
      </c>
      <c r="BB18">
        <v>1.5459555834334138E-5</v>
      </c>
      <c r="BD18">
        <f t="shared" si="10"/>
        <v>1.1356210855648015E-4</v>
      </c>
      <c r="BF18">
        <f t="shared" si="11"/>
        <v>1.2333725287539023E-4</v>
      </c>
      <c r="BH18">
        <f t="shared" si="12"/>
        <v>1.5070130233368813E-4</v>
      </c>
      <c r="BJ18">
        <f t="shared" si="13"/>
        <v>1.7810677734498855E-2</v>
      </c>
      <c r="BL18" s="1">
        <f t="shared" si="14"/>
        <v>2.0260223743204225E-2</v>
      </c>
      <c r="BN18">
        <f t="shared" si="15"/>
        <v>3.3250993011042285E-2</v>
      </c>
      <c r="BP18">
        <v>2.5836145580053231</v>
      </c>
      <c r="BQ18" s="4">
        <v>74.988333333333301</v>
      </c>
      <c r="BR18">
        <v>13.05</v>
      </c>
      <c r="BT18" s="1">
        <v>3.2805999999999999E-7</v>
      </c>
      <c r="BV18" s="11">
        <f t="shared" si="4"/>
        <v>2.0268148863961302</v>
      </c>
    </row>
    <row r="19" spans="1:74" x14ac:dyDescent="0.25">
      <c r="A19" t="s">
        <v>20</v>
      </c>
      <c r="B19" t="s">
        <v>5</v>
      </c>
      <c r="C19" s="1">
        <v>1.6299999999999999E-3</v>
      </c>
      <c r="D19">
        <v>9.7760216857369955E-9</v>
      </c>
      <c r="F19" t="s">
        <v>20</v>
      </c>
      <c r="G19" t="s">
        <v>6</v>
      </c>
      <c r="H19" s="1">
        <v>1.34E-3</v>
      </c>
      <c r="I19">
        <v>8.0350855627056022E-9</v>
      </c>
      <c r="K19" t="s">
        <v>20</v>
      </c>
      <c r="L19" t="s">
        <v>7</v>
      </c>
      <c r="M19" s="1">
        <v>8.7200000000000005E-4</v>
      </c>
      <c r="N19">
        <v>5.2348543437234239E-9</v>
      </c>
      <c r="P19" t="s">
        <v>20</v>
      </c>
      <c r="Q19" t="s">
        <v>446</v>
      </c>
      <c r="R19">
        <v>5.0650666333228038E-9</v>
      </c>
      <c r="T19">
        <f t="shared" si="5"/>
        <v>1.7409361230313933E-9</v>
      </c>
      <c r="V19" s="1">
        <f t="shared" si="6"/>
        <v>4.5411673420135715E-9</v>
      </c>
      <c r="X19">
        <f t="shared" si="7"/>
        <v>4.7109550524141917E-9</v>
      </c>
      <c r="AA19" t="s">
        <v>237</v>
      </c>
      <c r="AB19" t="s">
        <v>224</v>
      </c>
      <c r="AC19">
        <v>350</v>
      </c>
      <c r="AD19" s="1">
        <v>-1.44722464921605E-4</v>
      </c>
      <c r="AE19" s="1">
        <v>-1.3356338006120699E-7</v>
      </c>
      <c r="AF19" s="1">
        <v>-4.3129327499035003E-6</v>
      </c>
      <c r="AG19">
        <f t="shared" si="8"/>
        <v>1.4478677799117872E-4</v>
      </c>
      <c r="AI19" t="s">
        <v>237</v>
      </c>
      <c r="AJ19" t="s">
        <v>224</v>
      </c>
      <c r="AK19">
        <v>550</v>
      </c>
      <c r="AL19" s="1">
        <v>-4.3576705721749801E-5</v>
      </c>
      <c r="AM19" s="1">
        <v>-7.2670419003473896E-7</v>
      </c>
      <c r="AN19" s="1">
        <v>-2.6269849498796102E-6</v>
      </c>
      <c r="AO19">
        <f t="shared" si="9"/>
        <v>4.366186471586721E-5</v>
      </c>
      <c r="AQ19" t="s">
        <v>237</v>
      </c>
      <c r="AR19" t="s">
        <v>224</v>
      </c>
      <c r="AS19">
        <v>600</v>
      </c>
      <c r="AT19" s="1">
        <v>-3.4283529571860502E-5</v>
      </c>
      <c r="AU19" s="1">
        <v>-4.1290179004301099E-7</v>
      </c>
      <c r="AV19" s="1">
        <v>-2.6605361498952299E-6</v>
      </c>
      <c r="AW19">
        <f t="shared" si="3"/>
        <v>3.4389087519120856E-5</v>
      </c>
      <c r="AY19" t="s">
        <v>237</v>
      </c>
      <c r="AZ19" t="s">
        <v>224</v>
      </c>
      <c r="BA19">
        <v>800</v>
      </c>
      <c r="BB19">
        <v>1.464817021425087E-5</v>
      </c>
      <c r="BD19">
        <f t="shared" si="10"/>
        <v>1.0112491327531151E-4</v>
      </c>
      <c r="BF19">
        <f t="shared" si="11"/>
        <v>1.1039769047205786E-4</v>
      </c>
      <c r="BH19">
        <f t="shared" si="12"/>
        <v>1.3013860777692785E-4</v>
      </c>
      <c r="BJ19">
        <f t="shared" si="13"/>
        <v>1.7215699540742379E-2</v>
      </c>
      <c r="BL19" s="1">
        <f t="shared" si="14"/>
        <v>4.113462267730103E-2</v>
      </c>
      <c r="BN19">
        <f t="shared" si="15"/>
        <v>3.6199519365454534E-2</v>
      </c>
      <c r="BP19">
        <v>3.1113909633984229</v>
      </c>
      <c r="BQ19" s="3">
        <v>75.069999999999993</v>
      </c>
      <c r="BR19">
        <v>12.42</v>
      </c>
      <c r="BT19" s="1">
        <v>3.1679000000000002E-7</v>
      </c>
      <c r="BV19" s="11">
        <f t="shared" si="4"/>
        <v>2.4846721751586793</v>
      </c>
    </row>
    <row r="20" spans="1:74" x14ac:dyDescent="0.25">
      <c r="A20" t="s">
        <v>21</v>
      </c>
      <c r="B20" t="s">
        <v>5</v>
      </c>
      <c r="C20" s="1">
        <v>2.0899999999999998E-3</v>
      </c>
      <c r="D20">
        <v>1.25443799767067E-8</v>
      </c>
      <c r="F20" t="s">
        <v>21</v>
      </c>
      <c r="G20" t="s">
        <v>6</v>
      </c>
      <c r="H20" s="1">
        <v>1.08E-3</v>
      </c>
      <c r="I20">
        <v>6.4840188155186591E-9</v>
      </c>
      <c r="K20" t="s">
        <v>21</v>
      </c>
      <c r="L20" t="s">
        <v>7</v>
      </c>
      <c r="M20" s="1">
        <v>9.4799999999999995E-4</v>
      </c>
      <c r="N20">
        <v>5.6849362353504019E-9</v>
      </c>
      <c r="P20" t="s">
        <v>21</v>
      </c>
      <c r="Q20" t="s">
        <v>446</v>
      </c>
      <c r="R20">
        <v>4.7674101984201022E-9</v>
      </c>
      <c r="T20">
        <f t="shared" si="5"/>
        <v>6.0603611611880408E-9</v>
      </c>
      <c r="V20" s="1">
        <f t="shared" si="6"/>
        <v>6.859443741356298E-9</v>
      </c>
      <c r="X20">
        <f t="shared" si="7"/>
        <v>7.7769697782865977E-9</v>
      </c>
      <c r="AA20" t="s">
        <v>238</v>
      </c>
      <c r="AB20" t="s">
        <v>224</v>
      </c>
      <c r="AC20">
        <v>350</v>
      </c>
      <c r="AD20" s="1">
        <v>-1.4601091607155601E-4</v>
      </c>
      <c r="AE20" s="1">
        <v>-2.15393770004136E-6</v>
      </c>
      <c r="AF20" s="1">
        <v>-3.9140188499034998E-6</v>
      </c>
      <c r="AG20">
        <f t="shared" si="8"/>
        <v>1.4607924768161984E-4</v>
      </c>
      <c r="AI20" t="s">
        <v>238</v>
      </c>
      <c r="AJ20" t="s">
        <v>224</v>
      </c>
      <c r="AK20">
        <v>550</v>
      </c>
      <c r="AL20" s="1">
        <v>-4.7424280713197199E-5</v>
      </c>
      <c r="AM20" s="1">
        <v>-2.3218170500330802E-6</v>
      </c>
      <c r="AN20" s="1">
        <v>-1.8593778999246399E-6</v>
      </c>
      <c r="AO20">
        <f t="shared" si="9"/>
        <v>4.7517475961509998E-5</v>
      </c>
      <c r="AQ20" t="s">
        <v>238</v>
      </c>
      <c r="AR20" t="s">
        <v>224</v>
      </c>
      <c r="AS20">
        <v>600</v>
      </c>
      <c r="AT20" s="1">
        <v>-3.8767767674865601E-5</v>
      </c>
      <c r="AU20" s="1">
        <v>-2.19313833003639E-6</v>
      </c>
      <c r="AV20" s="1">
        <v>-2.7259116499099398E-6</v>
      </c>
      <c r="AW20">
        <f t="shared" si="3"/>
        <v>3.8925316447655803E-5</v>
      </c>
      <c r="AY20" t="s">
        <v>238</v>
      </c>
      <c r="AZ20" t="s">
        <v>224</v>
      </c>
      <c r="BA20">
        <v>800</v>
      </c>
      <c r="BB20">
        <v>1.5373554534378266E-5</v>
      </c>
      <c r="BD20">
        <f t="shared" si="10"/>
        <v>9.8561771720109847E-5</v>
      </c>
      <c r="BF20">
        <f t="shared" si="11"/>
        <v>1.0715393123396404E-4</v>
      </c>
      <c r="BH20">
        <f t="shared" si="12"/>
        <v>1.3070569314724157E-4</v>
      </c>
      <c r="BJ20">
        <f t="shared" si="13"/>
        <v>6.1487948678498924E-2</v>
      </c>
      <c r="BL20" s="1">
        <f t="shared" si="14"/>
        <v>6.4014858459827503E-2</v>
      </c>
      <c r="BN20">
        <f t="shared" si="15"/>
        <v>5.9499854910877878E-2</v>
      </c>
      <c r="BP20">
        <v>4.2146813837047121</v>
      </c>
      <c r="BQ20" s="4">
        <v>75.089999999999989</v>
      </c>
      <c r="BR20">
        <v>12.49</v>
      </c>
      <c r="BT20" s="1">
        <v>3.0602999999999999E-7</v>
      </c>
      <c r="BV20" s="11">
        <f t="shared" si="4"/>
        <v>3.2818804732919298</v>
      </c>
    </row>
    <row r="21" spans="1:74" x14ac:dyDescent="0.25">
      <c r="A21" t="s">
        <v>22</v>
      </c>
      <c r="B21" t="s">
        <v>5</v>
      </c>
      <c r="C21" s="1">
        <v>9.1200000000000005E-4</v>
      </c>
      <c r="D21">
        <v>6.3879104564794896E-9</v>
      </c>
      <c r="F21" t="s">
        <v>22</v>
      </c>
      <c r="G21" t="s">
        <v>6</v>
      </c>
      <c r="H21" s="1">
        <v>6.2799999999999998E-4</v>
      </c>
      <c r="I21">
        <v>4.3952701850967017E-9</v>
      </c>
      <c r="K21" t="s">
        <v>22</v>
      </c>
      <c r="L21" t="s">
        <v>7</v>
      </c>
      <c r="M21" s="1">
        <v>5.4500000000000002E-4</v>
      </c>
      <c r="N21">
        <v>3.8134236586039061E-9</v>
      </c>
      <c r="P21" t="s">
        <v>22</v>
      </c>
      <c r="Q21" t="s">
        <v>446</v>
      </c>
      <c r="R21">
        <v>4.2010236847701772E-9</v>
      </c>
      <c r="T21">
        <f t="shared" si="5"/>
        <v>1.9926402713827879E-9</v>
      </c>
      <c r="V21" s="1">
        <f t="shared" si="6"/>
        <v>2.5744867978755836E-9</v>
      </c>
      <c r="X21">
        <f t="shared" si="7"/>
        <v>2.1868867717093125E-9</v>
      </c>
      <c r="AA21" t="s">
        <v>239</v>
      </c>
      <c r="AB21" t="s">
        <v>224</v>
      </c>
      <c r="AC21">
        <v>350</v>
      </c>
      <c r="AD21" s="1">
        <v>-1.24935801897183E-4</v>
      </c>
      <c r="AE21" s="1">
        <v>6.6702745996526096E-7</v>
      </c>
      <c r="AF21" s="1">
        <v>-1.97446344999724E-6</v>
      </c>
      <c r="AG21">
        <f t="shared" si="8"/>
        <v>1.2495318334176155E-4</v>
      </c>
      <c r="AI21" t="s">
        <v>239</v>
      </c>
      <c r="AJ21" t="s">
        <v>224</v>
      </c>
      <c r="AK21">
        <v>550</v>
      </c>
      <c r="AL21" s="1">
        <v>-3.9926772250628703E-5</v>
      </c>
      <c r="AM21" s="1">
        <v>-1.51888255999835E-6</v>
      </c>
      <c r="AN21" s="1">
        <v>4.3320519998621502E-7</v>
      </c>
      <c r="AO21">
        <f t="shared" si="9"/>
        <v>3.9958000617272339E-5</v>
      </c>
      <c r="AQ21" t="s">
        <v>239</v>
      </c>
      <c r="AR21" t="s">
        <v>224</v>
      </c>
      <c r="AS21">
        <v>600</v>
      </c>
      <c r="AT21" s="1">
        <v>-3.0010377397469401E-5</v>
      </c>
      <c r="AU21" s="1">
        <v>-2.1956300016542498E-8</v>
      </c>
      <c r="AV21" s="1">
        <v>-7.3368579998162003E-7</v>
      </c>
      <c r="AW21">
        <f t="shared" si="3"/>
        <v>3.0019352565815726E-5</v>
      </c>
      <c r="AY21" t="s">
        <v>239</v>
      </c>
      <c r="AZ21" t="s">
        <v>224</v>
      </c>
      <c r="BA21">
        <v>800</v>
      </c>
      <c r="BB21">
        <v>1.1830013154336133E-5</v>
      </c>
      <c r="BD21">
        <f t="shared" si="10"/>
        <v>8.4995182724489221E-5</v>
      </c>
      <c r="BF21">
        <f t="shared" si="11"/>
        <v>9.493383077594582E-5</v>
      </c>
      <c r="BH21">
        <f t="shared" si="12"/>
        <v>1.1312317018742543E-4</v>
      </c>
      <c r="BJ21">
        <f t="shared" si="13"/>
        <v>2.3444155392216823E-2</v>
      </c>
      <c r="BL21" s="1">
        <f t="shared" si="14"/>
        <v>2.7118749731606773E-2</v>
      </c>
      <c r="BN21">
        <f t="shared" si="15"/>
        <v>1.9331908468318393E-2</v>
      </c>
      <c r="BP21">
        <v>1.9935864886494632</v>
      </c>
      <c r="BQ21" s="4">
        <v>75.109999999999985</v>
      </c>
      <c r="BR21">
        <v>10.76</v>
      </c>
      <c r="BT21" s="1">
        <v>3.1005E-7</v>
      </c>
      <c r="BV21" s="11">
        <f t="shared" si="4"/>
        <v>1.9147620561498024</v>
      </c>
    </row>
    <row r="22" spans="1:74" x14ac:dyDescent="0.25">
      <c r="A22" t="s">
        <v>23</v>
      </c>
      <c r="B22" t="s">
        <v>5</v>
      </c>
      <c r="C22" s="1">
        <v>1.72E-3</v>
      </c>
      <c r="D22">
        <v>1.2070219550612987E-8</v>
      </c>
      <c r="F22" t="s">
        <v>23</v>
      </c>
      <c r="G22" t="s">
        <v>6</v>
      </c>
      <c r="H22" s="1">
        <v>1.0399999999999999E-3</v>
      </c>
      <c r="I22">
        <v>7.2812224248404875E-9</v>
      </c>
      <c r="K22" t="s">
        <v>23</v>
      </c>
      <c r="L22" t="s">
        <v>7</v>
      </c>
      <c r="M22" s="1">
        <v>8.7500000000000002E-4</v>
      </c>
      <c r="N22">
        <v>6.1241897423251023E-9</v>
      </c>
      <c r="P22" t="s">
        <v>23</v>
      </c>
      <c r="Q22" t="s">
        <v>446</v>
      </c>
      <c r="R22">
        <v>4.6605149930023825E-9</v>
      </c>
      <c r="T22">
        <f t="shared" si="5"/>
        <v>4.7889971257724992E-9</v>
      </c>
      <c r="V22" s="1">
        <f t="shared" si="6"/>
        <v>5.9460298082878844E-9</v>
      </c>
      <c r="X22">
        <f t="shared" si="7"/>
        <v>7.4097045576106042E-9</v>
      </c>
      <c r="AA22" t="s">
        <v>240</v>
      </c>
      <c r="AB22" t="s">
        <v>224</v>
      </c>
      <c r="AC22">
        <v>350</v>
      </c>
      <c r="AD22" s="1">
        <v>-1.07087520622693E-4</v>
      </c>
      <c r="AE22" s="1">
        <v>-5.8990904001819705E-7</v>
      </c>
      <c r="AF22" s="1">
        <v>-1.0867134999163701E-6</v>
      </c>
      <c r="AG22">
        <f t="shared" si="8"/>
        <v>1.0709465911996775E-4</v>
      </c>
      <c r="AI22" t="s">
        <v>240</v>
      </c>
      <c r="AJ22" t="s">
        <v>224</v>
      </c>
      <c r="AK22">
        <v>550</v>
      </c>
      <c r="AL22" s="1">
        <v>-3.37431885258422E-5</v>
      </c>
      <c r="AM22" s="1">
        <v>-2.07013371002316E-6</v>
      </c>
      <c r="AN22" s="1">
        <v>1.6602910007535999E-7</v>
      </c>
      <c r="AO22">
        <f t="shared" si="9"/>
        <v>3.3807037597665592E-5</v>
      </c>
      <c r="AQ22" t="s">
        <v>240</v>
      </c>
      <c r="AR22" t="s">
        <v>224</v>
      </c>
      <c r="AS22">
        <v>600</v>
      </c>
      <c r="AT22" s="1">
        <v>-2.5125062774857701E-5</v>
      </c>
      <c r="AU22" s="1">
        <v>3.3990326001488802E-7</v>
      </c>
      <c r="AV22" s="1">
        <v>-5.0857204994210099E-7</v>
      </c>
      <c r="AW22">
        <f t="shared" si="3"/>
        <v>2.5132508016445377E-5</v>
      </c>
      <c r="AY22" t="s">
        <v>240</v>
      </c>
      <c r="AZ22" t="s">
        <v>224</v>
      </c>
      <c r="BA22">
        <v>800</v>
      </c>
      <c r="BB22">
        <v>8.3344729974075564E-6</v>
      </c>
      <c r="BD22">
        <f t="shared" si="10"/>
        <v>7.3287621522302162E-5</v>
      </c>
      <c r="BF22">
        <f t="shared" si="11"/>
        <v>8.196215110352238E-5</v>
      </c>
      <c r="BH22">
        <f t="shared" si="12"/>
        <v>9.8760186122560191E-5</v>
      </c>
      <c r="BJ22">
        <f t="shared" si="13"/>
        <v>6.5345238749700163E-2</v>
      </c>
      <c r="BL22" s="1">
        <f t="shared" si="14"/>
        <v>7.2546043853555592E-2</v>
      </c>
      <c r="BN22">
        <f t="shared" si="15"/>
        <v>7.5027243756054185E-2</v>
      </c>
      <c r="BP22">
        <v>4.7149790433713115</v>
      </c>
      <c r="BQ22" s="4">
        <v>75.129999999999981</v>
      </c>
      <c r="BR22">
        <v>9.6999999999999993</v>
      </c>
      <c r="BT22" s="1">
        <v>2.959E-7</v>
      </c>
      <c r="BV22" s="11">
        <f t="shared" si="4"/>
        <v>4.2053144001048652</v>
      </c>
    </row>
    <row r="23" spans="1:74" x14ac:dyDescent="0.25">
      <c r="A23" t="s">
        <v>24</v>
      </c>
      <c r="B23" t="s">
        <v>5</v>
      </c>
      <c r="C23" s="1">
        <v>2.2599999999999999E-3</v>
      </c>
      <c r="D23">
        <v>1.359137962092149E-8</v>
      </c>
      <c r="F23" t="s">
        <v>24</v>
      </c>
      <c r="G23" t="s">
        <v>6</v>
      </c>
      <c r="H23" s="1">
        <v>1.34E-3</v>
      </c>
      <c r="I23">
        <v>8.0394589370180884E-9</v>
      </c>
      <c r="K23" t="s">
        <v>24</v>
      </c>
      <c r="L23" t="s">
        <v>7</v>
      </c>
      <c r="M23" s="1">
        <v>1.1999999999999999E-3</v>
      </c>
      <c r="N23">
        <v>7.2022843598402855E-9</v>
      </c>
      <c r="P23" t="s">
        <v>24</v>
      </c>
      <c r="Q23" t="s">
        <v>446</v>
      </c>
      <c r="R23">
        <v>4.6527995873452361E-9</v>
      </c>
      <c r="T23">
        <f t="shared" si="5"/>
        <v>5.5519206839034013E-9</v>
      </c>
      <c r="V23" s="1">
        <f t="shared" si="6"/>
        <v>6.3890952610812042E-9</v>
      </c>
      <c r="X23">
        <f t="shared" si="7"/>
        <v>8.9385800335762536E-9</v>
      </c>
      <c r="AA23" t="s">
        <v>241</v>
      </c>
      <c r="AB23" t="s">
        <v>224</v>
      </c>
      <c r="AC23">
        <v>350</v>
      </c>
      <c r="AD23" s="1">
        <v>-1.22057815800996E-4</v>
      </c>
      <c r="AE23" s="1">
        <v>3.3057799950372101E-9</v>
      </c>
      <c r="AF23" s="1">
        <v>-2.9122934991269199E-7</v>
      </c>
      <c r="AG23">
        <f t="shared" si="8"/>
        <v>1.2205816328116813E-4</v>
      </c>
      <c r="AI23" t="s">
        <v>241</v>
      </c>
      <c r="AJ23" t="s">
        <v>224</v>
      </c>
      <c r="AK23">
        <v>550</v>
      </c>
      <c r="AL23" s="1">
        <v>-4.3443942276035997E-5</v>
      </c>
      <c r="AM23" s="1">
        <v>-1.8119621599983499E-6</v>
      </c>
      <c r="AN23" s="1">
        <v>5.9084650090983902E-8</v>
      </c>
      <c r="AO23">
        <f t="shared" si="9"/>
        <v>4.3481752705573976E-5</v>
      </c>
      <c r="AQ23" t="s">
        <v>241</v>
      </c>
      <c r="AR23" t="s">
        <v>224</v>
      </c>
      <c r="AS23">
        <v>600</v>
      </c>
      <c r="AT23" s="1">
        <v>-3.20962053011862E-5</v>
      </c>
      <c r="AU23" s="1">
        <v>-2.96373045004136E-6</v>
      </c>
      <c r="AV23" s="1">
        <v>8.99591550096498E-7</v>
      </c>
      <c r="AW23">
        <f t="shared" si="3"/>
        <v>3.2245299779555475E-5</v>
      </c>
      <c r="AY23" t="s">
        <v>241</v>
      </c>
      <c r="AZ23" t="s">
        <v>224</v>
      </c>
      <c r="BA23">
        <v>800</v>
      </c>
      <c r="BB23">
        <v>1.4175085589547223E-5</v>
      </c>
      <c r="BD23">
        <f t="shared" si="10"/>
        <v>7.8576410575594154E-5</v>
      </c>
      <c r="BF23">
        <f t="shared" si="11"/>
        <v>8.9812863501612648E-5</v>
      </c>
      <c r="BH23">
        <f t="shared" si="12"/>
        <v>1.078830776916209E-4</v>
      </c>
      <c r="BJ23">
        <f t="shared" si="13"/>
        <v>7.0656328575383273E-2</v>
      </c>
      <c r="BL23" s="1">
        <f t="shared" si="14"/>
        <v>7.1137863909288265E-2</v>
      </c>
      <c r="BN23">
        <f t="shared" si="15"/>
        <v>8.2854329194489582E-2</v>
      </c>
      <c r="BP23">
        <v>4.7536047063525073</v>
      </c>
      <c r="BQ23" s="4">
        <v>75.149999999999977</v>
      </c>
      <c r="BR23">
        <v>11.25</v>
      </c>
      <c r="BT23" s="1">
        <v>2.8335000000000001E-7</v>
      </c>
      <c r="BV23" s="11">
        <f t="shared" si="4"/>
        <v>4.2637114274600281</v>
      </c>
    </row>
    <row r="24" spans="1:74" x14ac:dyDescent="0.25">
      <c r="A24" t="s">
        <v>25</v>
      </c>
      <c r="B24" t="s">
        <v>5</v>
      </c>
      <c r="C24" s="1">
        <v>1.5200000000000001E-3</v>
      </c>
      <c r="D24">
        <v>1.064359530421934E-8</v>
      </c>
      <c r="F24" t="s">
        <v>25</v>
      </c>
      <c r="G24" t="s">
        <v>6</v>
      </c>
      <c r="H24" s="1">
        <v>6.7400000000000001E-4</v>
      </c>
      <c r="I24">
        <v>4.72113799840674E-9</v>
      </c>
      <c r="K24" t="s">
        <v>25</v>
      </c>
      <c r="L24" t="s">
        <v>7</v>
      </c>
      <c r="M24" s="1">
        <v>6.2E-4</v>
      </c>
      <c r="N24">
        <v>4.339644685916118E-9</v>
      </c>
      <c r="P24" t="s">
        <v>25</v>
      </c>
      <c r="Q24" t="s">
        <v>446</v>
      </c>
      <c r="R24">
        <v>3.073789843174058E-9</v>
      </c>
      <c r="T24">
        <f t="shared" si="5"/>
        <v>5.9224573058126E-9</v>
      </c>
      <c r="V24" s="1">
        <f t="shared" si="6"/>
        <v>6.303950618303222E-9</v>
      </c>
      <c r="X24">
        <f t="shared" si="7"/>
        <v>7.5698054610452825E-9</v>
      </c>
      <c r="AA24" t="s">
        <v>242</v>
      </c>
      <c r="AB24" t="s">
        <v>224</v>
      </c>
      <c r="AC24">
        <v>350</v>
      </c>
      <c r="AD24" s="1">
        <v>-1.19794070726787E-4</v>
      </c>
      <c r="AE24" s="1">
        <v>-2.3525805400182001E-6</v>
      </c>
      <c r="AF24" s="1">
        <v>-1.2437380498483599E-6</v>
      </c>
      <c r="AG24">
        <f t="shared" si="8"/>
        <v>1.1982362413492741E-4</v>
      </c>
      <c r="AI24" t="s">
        <v>242</v>
      </c>
      <c r="AJ24" t="s">
        <v>224</v>
      </c>
      <c r="AK24">
        <v>550</v>
      </c>
      <c r="AL24" s="1">
        <v>-3.9700826726872198E-5</v>
      </c>
      <c r="AM24" s="1">
        <v>-2.5733523699966898E-6</v>
      </c>
      <c r="AN24" s="1">
        <v>-2.81608049823546E-7</v>
      </c>
      <c r="AO24">
        <f t="shared" si="9"/>
        <v>3.9785136524976551E-5</v>
      </c>
      <c r="AQ24" t="s">
        <v>242</v>
      </c>
      <c r="AR24" t="s">
        <v>224</v>
      </c>
      <c r="AS24">
        <v>600</v>
      </c>
      <c r="AT24" s="1">
        <v>-3.2823396977226103E-5</v>
      </c>
      <c r="AU24" s="1">
        <v>-2.4959625800363899E-6</v>
      </c>
      <c r="AV24" s="1">
        <v>-4.9179644979965197E-7</v>
      </c>
      <c r="AW24">
        <f t="shared" si="3"/>
        <v>3.2921832908778838E-5</v>
      </c>
      <c r="AY24" t="s">
        <v>242</v>
      </c>
      <c r="AZ24" t="s">
        <v>224</v>
      </c>
      <c r="BA24">
        <v>800</v>
      </c>
      <c r="BB24">
        <v>1.2309904209432726E-5</v>
      </c>
      <c r="BD24">
        <f t="shared" si="10"/>
        <v>8.0038487609950865E-5</v>
      </c>
      <c r="BF24">
        <f t="shared" si="11"/>
        <v>8.6901791226148579E-5</v>
      </c>
      <c r="BH24">
        <f t="shared" si="12"/>
        <v>1.0751371992549468E-4</v>
      </c>
      <c r="BJ24">
        <f t="shared" si="13"/>
        <v>7.3995117632336238E-2</v>
      </c>
      <c r="BL24" s="1">
        <f t="shared" si="14"/>
        <v>7.254108953747751E-2</v>
      </c>
      <c r="BN24">
        <f t="shared" si="15"/>
        <v>7.0407809033963653E-2</v>
      </c>
      <c r="BP24">
        <v>3.884033135421332</v>
      </c>
      <c r="BQ24" s="4">
        <v>75.169999999999973</v>
      </c>
      <c r="BR24">
        <v>11.65</v>
      </c>
      <c r="BT24" s="1">
        <v>2.6898000000000002E-7</v>
      </c>
      <c r="BV24" s="11">
        <f t="shared" si="4"/>
        <v>3.3965846190582125</v>
      </c>
    </row>
    <row r="25" spans="1:74" x14ac:dyDescent="0.25">
      <c r="BL25" s="1"/>
      <c r="BQ25" s="5"/>
      <c r="BV25" s="11"/>
    </row>
    <row r="26" spans="1:74" x14ac:dyDescent="0.25">
      <c r="A26" t="s">
        <v>26</v>
      </c>
      <c r="B26" t="s">
        <v>5</v>
      </c>
      <c r="C26" s="1">
        <v>1.2999999999999999E-3</v>
      </c>
      <c r="D26">
        <v>7.8023970675684023E-9</v>
      </c>
      <c r="F26" t="s">
        <v>26</v>
      </c>
      <c r="G26" t="s">
        <v>6</v>
      </c>
      <c r="H26" s="1">
        <v>6.9099999999999999E-4</v>
      </c>
      <c r="I26">
        <v>4.1437514404220723E-9</v>
      </c>
      <c r="K26" t="s">
        <v>26</v>
      </c>
      <c r="L26" t="s">
        <v>7</v>
      </c>
      <c r="M26" s="1">
        <v>8.1499999999999997E-4</v>
      </c>
      <c r="N26">
        <v>4.8895407759829552E-9</v>
      </c>
      <c r="P26" t="s">
        <v>26</v>
      </c>
      <c r="Q26" t="s">
        <v>446</v>
      </c>
      <c r="R26">
        <v>3.0249297512504317E-9</v>
      </c>
      <c r="T26">
        <f t="shared" ref="T26:T71" si="16">D26-I26</f>
        <v>3.65864562714633E-9</v>
      </c>
      <c r="V26" s="1">
        <f t="shared" ref="V26:V71" si="17">D26-N26</f>
        <v>2.9128562915854472E-9</v>
      </c>
      <c r="X26">
        <f t="shared" si="7"/>
        <v>4.777467316317971E-9</v>
      </c>
      <c r="AA26" t="s">
        <v>243</v>
      </c>
      <c r="AB26" t="s">
        <v>224</v>
      </c>
      <c r="AC26">
        <v>350</v>
      </c>
      <c r="AD26" s="1">
        <v>1.15500132777684E-4</v>
      </c>
      <c r="AE26" s="1">
        <v>-1.11730429996692E-6</v>
      </c>
      <c r="AF26" s="1">
        <v>2.3302048500918999E-6</v>
      </c>
      <c r="AG26">
        <f t="shared" ref="AG26:AG57" si="18">SQRT(AD26^2+AE26^2+AF26^2)</f>
        <v>1.1552903918584604E-4</v>
      </c>
      <c r="AI26" t="s">
        <v>243</v>
      </c>
      <c r="AJ26" t="s">
        <v>224</v>
      </c>
      <c r="AK26">
        <v>550</v>
      </c>
      <c r="AL26" s="1">
        <v>4.2482844573790099E-5</v>
      </c>
      <c r="AM26" s="1">
        <v>-2.4916699718777099E-9</v>
      </c>
      <c r="AN26" s="1">
        <v>1.09892515003768E-6</v>
      </c>
      <c r="AO26">
        <f t="shared" ref="AO26:AO57" si="19">SQRT(AL26^2+AM26^2+AN26^2)</f>
        <v>4.2497055495347104E-5</v>
      </c>
      <c r="AQ26" t="s">
        <v>243</v>
      </c>
      <c r="AR26" t="s">
        <v>224</v>
      </c>
      <c r="AS26">
        <v>600</v>
      </c>
      <c r="AT26" s="1">
        <v>3.80023655998359E-5</v>
      </c>
      <c r="AU26" s="1">
        <v>-1.1772523999338301E-7</v>
      </c>
      <c r="AV26" s="1">
        <v>-4.6342594996691499E-7</v>
      </c>
      <c r="AW26">
        <f t="shared" ref="AW26:AW38" si="20">SQRT(AT26^2+AU26^2+AV26^2)</f>
        <v>3.8005373488847928E-5</v>
      </c>
      <c r="AY26" t="s">
        <v>243</v>
      </c>
      <c r="AZ26" t="s">
        <v>224</v>
      </c>
      <c r="BA26">
        <v>800</v>
      </c>
      <c r="BB26">
        <v>1.6883095210551663E-5</v>
      </c>
      <c r="BD26">
        <f t="shared" ref="BD26:BD71" si="21">AG26-AO26</f>
        <v>7.3031983690498943E-5</v>
      </c>
      <c r="BF26">
        <f t="shared" ref="BF26:BF71" si="22">AG26-AW26</f>
        <v>7.7523665696998119E-5</v>
      </c>
      <c r="BH26">
        <f t="shared" si="12"/>
        <v>9.8645943975294377E-5</v>
      </c>
      <c r="BJ26">
        <f t="shared" si="13"/>
        <v>5.009648433830368E-2</v>
      </c>
      <c r="BL26" s="1">
        <f t="shared" si="14"/>
        <v>3.757376880203743E-2</v>
      </c>
      <c r="BN26">
        <f t="shared" si="15"/>
        <v>4.8430448569831475E-2</v>
      </c>
      <c r="BP26">
        <v>3.4602853042110016</v>
      </c>
      <c r="BQ26" s="3">
        <v>75.734999999999999</v>
      </c>
      <c r="BR26">
        <v>9.58</v>
      </c>
      <c r="BT26" s="1">
        <v>2.4072E-7</v>
      </c>
      <c r="BV26" s="11">
        <f t="shared" ref="BV26:BV70" si="23">D26*1000/BR26/BT26</f>
        <v>3.3833767779682882</v>
      </c>
    </row>
    <row r="27" spans="1:74" x14ac:dyDescent="0.25">
      <c r="A27" t="s">
        <v>27</v>
      </c>
      <c r="B27" t="s">
        <v>5</v>
      </c>
      <c r="C27" s="1">
        <v>1.5200000000000001E-3</v>
      </c>
      <c r="D27">
        <v>9.120339905946488E-9</v>
      </c>
      <c r="F27" t="s">
        <v>27</v>
      </c>
      <c r="G27" t="s">
        <v>6</v>
      </c>
      <c r="H27" s="1">
        <v>1.0300000000000001E-3</v>
      </c>
      <c r="I27">
        <v>6.1758326564116033E-9</v>
      </c>
      <c r="K27" t="s">
        <v>27</v>
      </c>
      <c r="L27" t="s">
        <v>7</v>
      </c>
      <c r="M27" s="1">
        <v>1.25E-3</v>
      </c>
      <c r="N27">
        <v>7.5005573792885555E-9</v>
      </c>
      <c r="P27" t="s">
        <v>27</v>
      </c>
      <c r="Q27" t="s">
        <v>446</v>
      </c>
      <c r="R27">
        <v>4.7367604963730225E-9</v>
      </c>
      <c r="T27">
        <f t="shared" si="16"/>
        <v>2.9445072495348848E-9</v>
      </c>
      <c r="V27" s="1">
        <f t="shared" si="17"/>
        <v>1.6197825266579325E-9</v>
      </c>
      <c r="X27">
        <f t="shared" si="7"/>
        <v>4.3835794095734655E-9</v>
      </c>
      <c r="AA27" t="s">
        <v>244</v>
      </c>
      <c r="AB27" t="s">
        <v>224</v>
      </c>
      <c r="AC27">
        <v>350</v>
      </c>
      <c r="AD27" s="1">
        <v>1.3114676089973499E-4</v>
      </c>
      <c r="AE27" s="1">
        <v>1.4337957299867701E-6</v>
      </c>
      <c r="AF27" s="1">
        <v>1.5132578000073499E-6</v>
      </c>
      <c r="AG27">
        <f t="shared" si="18"/>
        <v>1.3116332800694282E-4</v>
      </c>
      <c r="AI27" t="s">
        <v>244</v>
      </c>
      <c r="AJ27" t="s">
        <v>224</v>
      </c>
      <c r="AK27">
        <v>550</v>
      </c>
      <c r="AL27" s="1">
        <v>4.64282894776617E-5</v>
      </c>
      <c r="AM27" s="1">
        <v>7.2892449000992598E-7</v>
      </c>
      <c r="AN27" s="1">
        <v>1.32440895008455E-6</v>
      </c>
      <c r="AO27">
        <f t="shared" si="19"/>
        <v>4.6452894999135982E-5</v>
      </c>
      <c r="AQ27" t="s">
        <v>244</v>
      </c>
      <c r="AR27" t="s">
        <v>224</v>
      </c>
      <c r="AS27">
        <v>600</v>
      </c>
      <c r="AT27" s="1">
        <v>3.6524454527048897E-5</v>
      </c>
      <c r="AU27" s="1">
        <v>4.8370469002646797E-7</v>
      </c>
      <c r="AV27" s="1">
        <v>5.0598170008087503E-7</v>
      </c>
      <c r="AW27">
        <f t="shared" si="20"/>
        <v>3.6531161577568721E-5</v>
      </c>
      <c r="AY27" t="s">
        <v>244</v>
      </c>
      <c r="AZ27" t="s">
        <v>224</v>
      </c>
      <c r="BA27">
        <v>800</v>
      </c>
      <c r="BB27">
        <v>1.4868913875636104E-5</v>
      </c>
      <c r="BD27">
        <f t="shared" si="21"/>
        <v>8.4710433007806837E-5</v>
      </c>
      <c r="BF27">
        <f t="shared" si="22"/>
        <v>9.4632166429374091E-5</v>
      </c>
      <c r="BH27">
        <f t="shared" si="12"/>
        <v>1.1629441413130672E-4</v>
      </c>
      <c r="BJ27">
        <f t="shared" si="13"/>
        <v>3.4759676523711328E-2</v>
      </c>
      <c r="BL27" s="1">
        <f t="shared" si="14"/>
        <v>1.7116616767585142E-2</v>
      </c>
      <c r="BN27">
        <f t="shared" si="15"/>
        <v>3.7693808789681121E-2</v>
      </c>
      <c r="BP27">
        <v>3.1565519084037774</v>
      </c>
      <c r="BQ27" s="4">
        <v>75.754999999999995</v>
      </c>
      <c r="BR27">
        <v>10.73</v>
      </c>
      <c r="BT27" s="1">
        <v>2.5344999999999998E-7</v>
      </c>
      <c r="BV27" s="11">
        <f t="shared" si="23"/>
        <v>3.3536598136568982</v>
      </c>
    </row>
    <row r="28" spans="1:74" x14ac:dyDescent="0.25">
      <c r="A28" t="s">
        <v>28</v>
      </c>
      <c r="B28" t="s">
        <v>5</v>
      </c>
      <c r="C28" s="1">
        <v>4.8500000000000003E-4</v>
      </c>
      <c r="D28">
        <v>2.9130997236620653E-9</v>
      </c>
      <c r="F28" t="s">
        <v>28</v>
      </c>
      <c r="G28" t="s">
        <v>6</v>
      </c>
      <c r="H28" s="1">
        <v>2.1100000000000001E-4</v>
      </c>
      <c r="I28">
        <v>1.2653778091937601E-9</v>
      </c>
      <c r="K28" t="s">
        <v>28</v>
      </c>
      <c r="L28" t="s">
        <v>7</v>
      </c>
      <c r="M28" s="1">
        <v>3.9100000000000002E-4</v>
      </c>
      <c r="N28">
        <v>2.343969283075186E-9</v>
      </c>
      <c r="P28" t="s">
        <v>28</v>
      </c>
      <c r="Q28" t="s">
        <v>446</v>
      </c>
      <c r="R28">
        <v>9.896049716932509E-10</v>
      </c>
      <c r="T28">
        <f t="shared" si="16"/>
        <v>1.6477219144683052E-9</v>
      </c>
      <c r="V28" s="1">
        <f t="shared" si="17"/>
        <v>5.6913044058687924E-10</v>
      </c>
      <c r="X28">
        <f t="shared" si="7"/>
        <v>1.9234947519688146E-9</v>
      </c>
      <c r="AA28" t="s">
        <v>245</v>
      </c>
      <c r="AB28" t="s">
        <v>224</v>
      </c>
      <c r="AC28">
        <v>350</v>
      </c>
      <c r="AD28" s="1">
        <v>1.3337530285633301E-4</v>
      </c>
      <c r="AE28" s="1">
        <v>-2.8560459000165398E-7</v>
      </c>
      <c r="AF28" s="1">
        <v>8.5234850107526406E-8</v>
      </c>
      <c r="AG28">
        <f t="shared" si="18"/>
        <v>1.3337563588219572E-4</v>
      </c>
      <c r="AI28" t="s">
        <v>245</v>
      </c>
      <c r="AJ28" t="s">
        <v>224</v>
      </c>
      <c r="AK28">
        <v>550</v>
      </c>
      <c r="AL28" s="1">
        <v>5.0262685450674201E-5</v>
      </c>
      <c r="AM28" s="1">
        <v>-6.7134470999007395E-7</v>
      </c>
      <c r="AN28" s="1">
        <v>-5.31638499540485E-8</v>
      </c>
      <c r="AO28">
        <f t="shared" si="19"/>
        <v>5.0267196846730863E-5</v>
      </c>
      <c r="AQ28" t="s">
        <v>245</v>
      </c>
      <c r="AR28" t="s">
        <v>224</v>
      </c>
      <c r="AS28">
        <v>600</v>
      </c>
      <c r="AT28" s="1">
        <v>4.00928813512851E-5</v>
      </c>
      <c r="AU28" s="1">
        <v>-2.5639530997353199E-7</v>
      </c>
      <c r="AV28" s="1">
        <v>-3.8657889997426702E-7</v>
      </c>
      <c r="AW28">
        <f t="shared" si="20"/>
        <v>4.0095564802719847E-5</v>
      </c>
      <c r="AY28" t="s">
        <v>245</v>
      </c>
      <c r="AZ28" t="s">
        <v>224</v>
      </c>
      <c r="BA28">
        <v>800</v>
      </c>
      <c r="BB28">
        <v>1.8835752063498068E-5</v>
      </c>
      <c r="BD28">
        <f t="shared" si="21"/>
        <v>8.3108439035464862E-5</v>
      </c>
      <c r="BF28">
        <f t="shared" si="22"/>
        <v>9.3280071079475884E-5</v>
      </c>
      <c r="BH28">
        <f t="shared" si="12"/>
        <v>1.1453988381869765E-4</v>
      </c>
      <c r="BJ28">
        <f t="shared" si="13"/>
        <v>1.9826168480497786E-2</v>
      </c>
      <c r="BL28" s="1">
        <f t="shared" si="14"/>
        <v>6.1013079642914551E-3</v>
      </c>
      <c r="BN28">
        <f t="shared" si="15"/>
        <v>1.6793231212050702E-2</v>
      </c>
      <c r="BP28">
        <v>1.1254156949572534</v>
      </c>
      <c r="BQ28" s="4">
        <v>75.774999999999991</v>
      </c>
      <c r="BR28">
        <v>10.06</v>
      </c>
      <c r="BT28" s="1">
        <v>2.5960999999999998E-7</v>
      </c>
      <c r="BV28" s="11">
        <f t="shared" si="23"/>
        <v>1.1154136479463288</v>
      </c>
    </row>
    <row r="29" spans="1:74" x14ac:dyDescent="0.25">
      <c r="A29" t="s">
        <v>29</v>
      </c>
      <c r="B29" t="s">
        <v>5</v>
      </c>
      <c r="C29" s="1">
        <v>2.0300000000000001E-3</v>
      </c>
      <c r="D29">
        <v>1.2186767413879696E-8</v>
      </c>
      <c r="F29" t="s">
        <v>29</v>
      </c>
      <c r="G29" t="s">
        <v>6</v>
      </c>
      <c r="H29" s="1">
        <v>1.3799999999999999E-3</v>
      </c>
      <c r="I29">
        <v>8.2830006640105964E-9</v>
      </c>
      <c r="K29" t="s">
        <v>29</v>
      </c>
      <c r="L29" t="s">
        <v>7</v>
      </c>
      <c r="M29" s="1">
        <v>1.4E-3</v>
      </c>
      <c r="N29">
        <v>8.3972257323475578E-9</v>
      </c>
      <c r="P29" t="s">
        <v>29</v>
      </c>
      <c r="Q29" t="s">
        <v>446</v>
      </c>
      <c r="R29">
        <v>5.9878857704535407E-9</v>
      </c>
      <c r="T29">
        <f t="shared" si="16"/>
        <v>3.9037667498690993E-9</v>
      </c>
      <c r="V29" s="1">
        <f t="shared" si="17"/>
        <v>3.789541681532138E-9</v>
      </c>
      <c r="X29">
        <f t="shared" si="7"/>
        <v>6.1988816434261551E-9</v>
      </c>
      <c r="AA29" t="s">
        <v>246</v>
      </c>
      <c r="AB29" t="s">
        <v>224</v>
      </c>
      <c r="AC29">
        <v>350</v>
      </c>
      <c r="AD29" s="1">
        <v>1.4054205257529301E-4</v>
      </c>
      <c r="AE29" s="1">
        <v>-6.3966842999503695E-7</v>
      </c>
      <c r="AF29" s="1">
        <v>1.06870440005238E-6</v>
      </c>
      <c r="AG29">
        <f t="shared" si="18"/>
        <v>1.4054757147269193E-4</v>
      </c>
      <c r="AI29" t="s">
        <v>246</v>
      </c>
      <c r="AJ29" t="s">
        <v>224</v>
      </c>
      <c r="AK29">
        <v>550</v>
      </c>
      <c r="AL29" s="1">
        <v>5.2730351995782997E-5</v>
      </c>
      <c r="AM29" s="1">
        <v>-4.9788994001819698E-7</v>
      </c>
      <c r="AN29" s="1">
        <v>-1.21364064992372E-6</v>
      </c>
      <c r="AO29">
        <f t="shared" si="19"/>
        <v>5.2746666620922071E-5</v>
      </c>
      <c r="AQ29" t="s">
        <v>246</v>
      </c>
      <c r="AR29" t="s">
        <v>224</v>
      </c>
      <c r="AS29">
        <v>600</v>
      </c>
      <c r="AT29" s="1">
        <v>4.4734118187783998E-5</v>
      </c>
      <c r="AU29" s="1">
        <v>5.1853873001157998E-7</v>
      </c>
      <c r="AV29" s="1">
        <v>-3.2128974499108498E-6</v>
      </c>
      <c r="AW29">
        <f t="shared" si="20"/>
        <v>4.4852345785664239E-5</v>
      </c>
      <c r="AY29" t="s">
        <v>246</v>
      </c>
      <c r="AZ29" t="s">
        <v>224</v>
      </c>
      <c r="BA29">
        <v>800</v>
      </c>
      <c r="BB29">
        <v>1.9239074829143675E-5</v>
      </c>
      <c r="BD29">
        <f t="shared" si="21"/>
        <v>8.7800904851769866E-5</v>
      </c>
      <c r="BF29">
        <f t="shared" si="22"/>
        <v>9.5695225687027685E-5</v>
      </c>
      <c r="BH29">
        <f t="shared" si="12"/>
        <v>1.2130849664354825E-4</v>
      </c>
      <c r="BJ29">
        <f t="shared" si="13"/>
        <v>4.4461577662094083E-2</v>
      </c>
      <c r="BL29" s="1">
        <f t="shared" si="14"/>
        <v>3.9600112276508725E-2</v>
      </c>
      <c r="BN29">
        <f t="shared" si="15"/>
        <v>5.1100143971290743E-2</v>
      </c>
      <c r="BP29">
        <v>4.0039996296271587</v>
      </c>
      <c r="BQ29" s="4">
        <v>75.794999999999987</v>
      </c>
      <c r="BR29">
        <v>10.61</v>
      </c>
      <c r="BT29" s="1">
        <v>2.5844999999999999E-7</v>
      </c>
      <c r="BV29" s="11">
        <f t="shared" si="23"/>
        <v>4.4442307732404194</v>
      </c>
    </row>
    <row r="30" spans="1:74" x14ac:dyDescent="0.25">
      <c r="A30" t="s">
        <v>30</v>
      </c>
      <c r="B30" t="s">
        <v>5</v>
      </c>
      <c r="C30" s="1">
        <v>1.33E-3</v>
      </c>
      <c r="D30">
        <v>7.9775256815631762E-9</v>
      </c>
      <c r="F30" t="s">
        <v>30</v>
      </c>
      <c r="G30" t="s">
        <v>6</v>
      </c>
      <c r="H30" s="1">
        <v>9.1699999999999995E-4</v>
      </c>
      <c r="I30">
        <v>5.5079906499557524E-9</v>
      </c>
      <c r="K30" t="s">
        <v>30</v>
      </c>
      <c r="L30" t="s">
        <v>7</v>
      </c>
      <c r="M30" s="1">
        <v>1.14E-3</v>
      </c>
      <c r="N30">
        <v>6.8465218176823188E-9</v>
      </c>
      <c r="P30" t="s">
        <v>30</v>
      </c>
      <c r="Q30" t="s">
        <v>446</v>
      </c>
      <c r="R30">
        <v>5.0662905562156614E-9</v>
      </c>
      <c r="T30">
        <f t="shared" si="16"/>
        <v>2.4695350316074238E-9</v>
      </c>
      <c r="V30" s="1">
        <f t="shared" si="17"/>
        <v>1.1310038638808574E-9</v>
      </c>
      <c r="X30">
        <f t="shared" si="7"/>
        <v>2.9112351253475148E-9</v>
      </c>
      <c r="AA30" t="s">
        <v>247</v>
      </c>
      <c r="AB30" t="s">
        <v>224</v>
      </c>
      <c r="AC30">
        <v>350</v>
      </c>
      <c r="AD30" s="1">
        <v>1.36538540224998E-4</v>
      </c>
      <c r="AE30" s="1">
        <v>-1.65150847998677E-6</v>
      </c>
      <c r="AF30" s="1">
        <v>3.1804564000514701E-6</v>
      </c>
      <c r="AG30">
        <f t="shared" si="18"/>
        <v>1.3658556201131031E-4</v>
      </c>
      <c r="AI30" t="s">
        <v>247</v>
      </c>
      <c r="AJ30" t="s">
        <v>224</v>
      </c>
      <c r="AK30">
        <v>550</v>
      </c>
      <c r="AL30" s="1">
        <v>5.2746272978428801E-5</v>
      </c>
      <c r="AM30" s="1">
        <v>-8.2027749996691502E-7</v>
      </c>
      <c r="AN30" s="1">
        <v>4.7354065011028397E-7</v>
      </c>
      <c r="AO30">
        <f t="shared" si="19"/>
        <v>5.2754776172771194E-5</v>
      </c>
      <c r="AQ30" t="s">
        <v>247</v>
      </c>
      <c r="AR30" t="s">
        <v>224</v>
      </c>
      <c r="AS30">
        <v>600</v>
      </c>
      <c r="AT30" s="1">
        <v>4.4482389486995199E-5</v>
      </c>
      <c r="AU30" s="1">
        <v>-7.9030344998345797E-7</v>
      </c>
      <c r="AV30" s="1">
        <v>-5.54704949897069E-7</v>
      </c>
      <c r="AW30">
        <f t="shared" si="20"/>
        <v>4.4492867423860612E-5</v>
      </c>
      <c r="AY30" t="s">
        <v>247</v>
      </c>
      <c r="AZ30" t="s">
        <v>224</v>
      </c>
      <c r="BA30">
        <v>800</v>
      </c>
      <c r="BB30">
        <v>1.9552014885368557E-5</v>
      </c>
      <c r="BD30">
        <f t="shared" si="21"/>
        <v>8.3830785838539114E-5</v>
      </c>
      <c r="BF30">
        <f t="shared" si="22"/>
        <v>9.2092694587449702E-5</v>
      </c>
      <c r="BH30">
        <f t="shared" si="12"/>
        <v>1.1703354712594175E-4</v>
      </c>
      <c r="BJ30">
        <f t="shared" si="13"/>
        <v>2.945856950886552E-2</v>
      </c>
      <c r="BL30" s="1">
        <f t="shared" si="14"/>
        <v>1.2281146392202421E-2</v>
      </c>
      <c r="BN30">
        <f t="shared" si="15"/>
        <v>2.4875219087521001E-2</v>
      </c>
      <c r="BP30">
        <v>2.7209866418480124</v>
      </c>
      <c r="BQ30" s="4">
        <v>75.814999999999984</v>
      </c>
      <c r="BR30">
        <v>10.58</v>
      </c>
      <c r="BT30" s="1">
        <v>2.5002000000000001E-7</v>
      </c>
      <c r="BV30" s="11">
        <f t="shared" si="23"/>
        <v>3.015836495486099</v>
      </c>
    </row>
    <row r="31" spans="1:74" x14ac:dyDescent="0.25">
      <c r="A31" t="s">
        <v>31</v>
      </c>
      <c r="B31" t="s">
        <v>5</v>
      </c>
      <c r="C31" s="1">
        <v>1.24E-3</v>
      </c>
      <c r="D31">
        <v>7.4358787940632815E-9</v>
      </c>
      <c r="F31" t="s">
        <v>31</v>
      </c>
      <c r="G31" t="s">
        <v>6</v>
      </c>
      <c r="H31" s="1">
        <v>6.7900000000000002E-4</v>
      </c>
      <c r="I31">
        <v>4.0715721779184997E-9</v>
      </c>
      <c r="K31" t="s">
        <v>31</v>
      </c>
      <c r="L31" t="s">
        <v>7</v>
      </c>
      <c r="M31" s="1">
        <v>5.5500000000000005E-4</v>
      </c>
      <c r="N31">
        <v>3.3273450377140028E-9</v>
      </c>
      <c r="P31" t="s">
        <v>31</v>
      </c>
      <c r="Q31" t="s">
        <v>446</v>
      </c>
      <c r="R31">
        <v>1.6065021008389626E-9</v>
      </c>
      <c r="T31">
        <f t="shared" si="16"/>
        <v>3.3643066161447818E-9</v>
      </c>
      <c r="V31" s="1">
        <f t="shared" si="17"/>
        <v>4.1085337563492788E-9</v>
      </c>
      <c r="X31">
        <f t="shared" si="7"/>
        <v>5.8293766932243185E-9</v>
      </c>
      <c r="AA31" t="s">
        <v>248</v>
      </c>
      <c r="AB31" t="s">
        <v>224</v>
      </c>
      <c r="AC31">
        <v>350</v>
      </c>
      <c r="AD31" s="1">
        <v>1.2329779632498501E-4</v>
      </c>
      <c r="AE31" s="1">
        <v>-1.47575939993383E-7</v>
      </c>
      <c r="AF31" s="1">
        <v>1.8824443501672599E-6</v>
      </c>
      <c r="AG31">
        <f t="shared" si="18"/>
        <v>1.2331225386792274E-4</v>
      </c>
      <c r="AI31" t="s">
        <v>248</v>
      </c>
      <c r="AJ31" t="s">
        <v>224</v>
      </c>
      <c r="AK31">
        <v>550</v>
      </c>
      <c r="AL31" s="1">
        <v>4.6420859675261702E-5</v>
      </c>
      <c r="AM31" s="1">
        <v>6.9608872002977696E-7</v>
      </c>
      <c r="AN31" s="1">
        <v>-2.17095998364128E-8</v>
      </c>
      <c r="AO31">
        <f t="shared" si="19"/>
        <v>4.6426083442427236E-5</v>
      </c>
      <c r="AQ31" t="s">
        <v>248</v>
      </c>
      <c r="AR31" t="s">
        <v>224</v>
      </c>
      <c r="AS31">
        <v>600</v>
      </c>
      <c r="AT31" s="1">
        <v>3.7891493500421802E-5</v>
      </c>
      <c r="AU31" s="1">
        <v>1.09820972002978E-6</v>
      </c>
      <c r="AV31" s="1">
        <v>1.2349802001378499E-6</v>
      </c>
      <c r="AW31">
        <f t="shared" si="20"/>
        <v>3.7927516665033691E-5</v>
      </c>
      <c r="AY31" t="s">
        <v>248</v>
      </c>
      <c r="AZ31" t="s">
        <v>224</v>
      </c>
      <c r="BA31">
        <v>800</v>
      </c>
      <c r="BB31">
        <v>1.7264979017249969E-5</v>
      </c>
      <c r="BD31">
        <f t="shared" si="21"/>
        <v>7.6886170425495502E-5</v>
      </c>
      <c r="BF31">
        <f t="shared" si="22"/>
        <v>8.5384737202889047E-5</v>
      </c>
      <c r="BH31">
        <f t="shared" si="12"/>
        <v>1.0604727485067278E-4</v>
      </c>
      <c r="BJ31">
        <f t="shared" si="13"/>
        <v>4.3756979929243239E-2</v>
      </c>
      <c r="BL31" s="1">
        <f t="shared" si="14"/>
        <v>4.8117894262374845E-2</v>
      </c>
      <c r="BN31">
        <f t="shared" si="15"/>
        <v>5.4969603900079253E-2</v>
      </c>
      <c r="BP31">
        <v>3.006682977772881</v>
      </c>
      <c r="BQ31" s="4">
        <v>75.83499999999998</v>
      </c>
      <c r="BR31">
        <v>9.83</v>
      </c>
      <c r="BT31" s="1">
        <v>2.2923E-7</v>
      </c>
      <c r="BV31" s="11">
        <f t="shared" si="23"/>
        <v>3.2999497739383425</v>
      </c>
    </row>
    <row r="32" spans="1:74" x14ac:dyDescent="0.25">
      <c r="A32" t="s">
        <v>32</v>
      </c>
      <c r="B32" t="s">
        <v>5</v>
      </c>
      <c r="C32" s="1">
        <v>1.6000000000000001E-3</v>
      </c>
      <c r="D32">
        <v>9.6020518640548902E-9</v>
      </c>
      <c r="F32" t="s">
        <v>32</v>
      </c>
      <c r="G32" t="s">
        <v>6</v>
      </c>
      <c r="H32" s="1">
        <v>1.0499999999999999E-3</v>
      </c>
      <c r="I32">
        <v>6.3040562338862432E-9</v>
      </c>
      <c r="K32" t="s">
        <v>32</v>
      </c>
      <c r="L32" t="s">
        <v>7</v>
      </c>
      <c r="M32" s="1">
        <v>1.1100000000000001E-3</v>
      </c>
      <c r="N32">
        <v>6.6595870742862127E-9</v>
      </c>
      <c r="P32" t="s">
        <v>32</v>
      </c>
      <c r="Q32" t="s">
        <v>446</v>
      </c>
      <c r="R32">
        <v>4.1263058539085532E-9</v>
      </c>
      <c r="T32">
        <f t="shared" si="16"/>
        <v>3.297995630168647E-9</v>
      </c>
      <c r="V32" s="1">
        <f t="shared" si="17"/>
        <v>2.9424647897686775E-9</v>
      </c>
      <c r="X32">
        <f t="shared" si="7"/>
        <v>5.475746010146337E-9</v>
      </c>
      <c r="AA32" t="s">
        <v>249</v>
      </c>
      <c r="AB32" t="s">
        <v>224</v>
      </c>
      <c r="AC32">
        <v>350</v>
      </c>
      <c r="AD32" s="1">
        <v>1.3829170767537001E-4</v>
      </c>
      <c r="AE32" s="1">
        <v>-7.8860121998842004E-7</v>
      </c>
      <c r="AF32" s="1">
        <v>1.7753765500487099E-6</v>
      </c>
      <c r="AG32">
        <f t="shared" si="18"/>
        <v>1.3830535154341867E-4</v>
      </c>
      <c r="AI32" t="s">
        <v>249</v>
      </c>
      <c r="AJ32" t="s">
        <v>224</v>
      </c>
      <c r="AK32">
        <v>550</v>
      </c>
      <c r="AL32" s="1">
        <v>5.2209116142305498E-5</v>
      </c>
      <c r="AM32" s="1">
        <v>-2.4780768300033098E-6</v>
      </c>
      <c r="AN32" s="1">
        <v>-3.0911509990625899E-7</v>
      </c>
      <c r="AO32">
        <f t="shared" si="19"/>
        <v>5.2268807383382429E-5</v>
      </c>
      <c r="AQ32" t="s">
        <v>249</v>
      </c>
      <c r="AR32" t="s">
        <v>224</v>
      </c>
      <c r="AS32">
        <v>600</v>
      </c>
      <c r="AT32" s="1">
        <v>4.42966002617501E-5</v>
      </c>
      <c r="AU32" s="1">
        <v>-1.44541529999173E-6</v>
      </c>
      <c r="AV32" s="1">
        <v>1.17305850008363E-6</v>
      </c>
      <c r="AW32">
        <f t="shared" si="20"/>
        <v>4.4335697653057721E-5</v>
      </c>
      <c r="AY32" t="s">
        <v>249</v>
      </c>
      <c r="AZ32" t="s">
        <v>224</v>
      </c>
      <c r="BA32">
        <v>800</v>
      </c>
      <c r="BB32">
        <v>2.0466618636605769E-5</v>
      </c>
      <c r="BD32">
        <f t="shared" si="21"/>
        <v>8.6036544160036232E-5</v>
      </c>
      <c r="BF32">
        <f t="shared" si="22"/>
        <v>9.3969653890360946E-5</v>
      </c>
      <c r="BH32">
        <f t="shared" si="12"/>
        <v>1.178387329068129E-4</v>
      </c>
      <c r="BJ32">
        <f t="shared" si="13"/>
        <v>3.833249768881998E-2</v>
      </c>
      <c r="BL32" s="1">
        <f t="shared" si="14"/>
        <v>3.1312925694094787E-2</v>
      </c>
      <c r="BN32">
        <f t="shared" si="15"/>
        <v>4.6468133822149697E-2</v>
      </c>
      <c r="BP32">
        <v>4.0794319848272096</v>
      </c>
      <c r="BQ32" s="4">
        <v>75.854999999999976</v>
      </c>
      <c r="BR32">
        <v>10.92</v>
      </c>
      <c r="BT32" s="1">
        <v>2.4391000000000002E-7</v>
      </c>
      <c r="BV32" s="11">
        <f t="shared" si="23"/>
        <v>3.6050542362330589</v>
      </c>
    </row>
    <row r="33" spans="1:81" x14ac:dyDescent="0.25">
      <c r="A33" t="s">
        <v>33</v>
      </c>
      <c r="B33" t="s">
        <v>5</v>
      </c>
      <c r="C33" s="1">
        <v>1.39E-3</v>
      </c>
      <c r="D33">
        <v>9.72839657908743E-9</v>
      </c>
      <c r="F33" t="s">
        <v>33</v>
      </c>
      <c r="G33" t="s">
        <v>6</v>
      </c>
      <c r="H33" s="1">
        <v>1.1299999999999999E-3</v>
      </c>
      <c r="I33">
        <v>7.9099006946990188E-9</v>
      </c>
      <c r="K33" t="s">
        <v>33</v>
      </c>
      <c r="L33" t="s">
        <v>7</v>
      </c>
      <c r="M33" s="1">
        <v>1.07E-3</v>
      </c>
      <c r="N33">
        <v>7.4931699567005684E-9</v>
      </c>
      <c r="P33" t="s">
        <v>33</v>
      </c>
      <c r="Q33" t="s">
        <v>446</v>
      </c>
      <c r="R33">
        <v>5.4686598906862002E-9</v>
      </c>
      <c r="T33">
        <f t="shared" si="16"/>
        <v>1.8184958843884112E-9</v>
      </c>
      <c r="V33" s="1">
        <f t="shared" si="17"/>
        <v>2.2352266223868617E-9</v>
      </c>
      <c r="X33">
        <f t="shared" si="7"/>
        <v>4.2597366884012298E-9</v>
      </c>
      <c r="AA33" t="s">
        <v>250</v>
      </c>
      <c r="AB33" t="s">
        <v>224</v>
      </c>
      <c r="AC33">
        <v>350</v>
      </c>
      <c r="AD33" s="1">
        <v>1.3425794542289401E-4</v>
      </c>
      <c r="AE33" s="1">
        <v>1.99975019996692E-7</v>
      </c>
      <c r="AF33" s="1">
        <v>7.7340450060655997E-8</v>
      </c>
      <c r="AG33">
        <f t="shared" si="18"/>
        <v>1.3425811662886764E-4</v>
      </c>
      <c r="AI33" t="s">
        <v>250</v>
      </c>
      <c r="AJ33" t="s">
        <v>224</v>
      </c>
      <c r="AK33">
        <v>550</v>
      </c>
      <c r="AL33" s="1">
        <v>5.1873448397028502E-5</v>
      </c>
      <c r="AM33" s="1">
        <v>-9.6331415999834603E-7</v>
      </c>
      <c r="AN33" s="1">
        <v>-1.08399979994578E-6</v>
      </c>
      <c r="AO33">
        <f t="shared" si="19"/>
        <v>5.1893715210382793E-5</v>
      </c>
      <c r="AQ33" t="s">
        <v>250</v>
      </c>
      <c r="AR33" t="s">
        <v>224</v>
      </c>
      <c r="AS33">
        <v>600</v>
      </c>
      <c r="AT33" s="1">
        <v>4.5025162922216398E-5</v>
      </c>
      <c r="AU33" s="1">
        <v>-3.4456588997683999E-7</v>
      </c>
      <c r="AV33" s="1">
        <v>-3.1010189995037198E-7</v>
      </c>
      <c r="AW33">
        <f t="shared" si="20"/>
        <v>4.5027549178397644E-5</v>
      </c>
      <c r="AY33" t="s">
        <v>250</v>
      </c>
      <c r="AZ33" t="s">
        <v>224</v>
      </c>
      <c r="BA33">
        <v>800</v>
      </c>
      <c r="BB33">
        <v>1.9922039065335026E-5</v>
      </c>
      <c r="BD33">
        <f t="shared" si="21"/>
        <v>8.236440141848485E-5</v>
      </c>
      <c r="BF33">
        <f t="shared" si="22"/>
        <v>8.9230567450470006E-5</v>
      </c>
      <c r="BH33">
        <f t="shared" si="12"/>
        <v>1.1433607756353262E-4</v>
      </c>
      <c r="BJ33">
        <f t="shared" si="13"/>
        <v>2.2078663270419768E-2</v>
      </c>
      <c r="BL33" s="1">
        <f t="shared" si="14"/>
        <v>2.5050010173112352E-2</v>
      </c>
      <c r="BN33">
        <f t="shared" si="15"/>
        <v>3.7256277976076627E-2</v>
      </c>
      <c r="BP33">
        <v>3.6912718547566734</v>
      </c>
      <c r="BQ33" s="4">
        <v>75.874999999999972</v>
      </c>
      <c r="BR33">
        <v>10.42</v>
      </c>
      <c r="BT33" s="1">
        <v>2.5288999999999998E-7</v>
      </c>
      <c r="BV33" s="11">
        <f t="shared" si="23"/>
        <v>3.6918316693144066</v>
      </c>
    </row>
    <row r="34" spans="1:81" x14ac:dyDescent="0.25">
      <c r="A34" t="s">
        <v>34</v>
      </c>
      <c r="B34" t="s">
        <v>5</v>
      </c>
      <c r="C34" s="1">
        <v>8.8900000000000003E-4</v>
      </c>
      <c r="D34">
        <v>5.3301500916953551E-9</v>
      </c>
      <c r="F34" t="s">
        <v>34</v>
      </c>
      <c r="G34" t="s">
        <v>6</v>
      </c>
      <c r="H34" s="1">
        <v>6.6799999999999997E-4</v>
      </c>
      <c r="I34">
        <v>4.0047346978295582E-9</v>
      </c>
      <c r="K34" t="s">
        <v>34</v>
      </c>
      <c r="L34" t="s">
        <v>7</v>
      </c>
      <c r="M34" s="1">
        <v>4.26E-4</v>
      </c>
      <c r="N34">
        <v>2.5555038642115181E-9</v>
      </c>
      <c r="P34" t="s">
        <v>34</v>
      </c>
      <c r="Q34" t="s">
        <v>446</v>
      </c>
      <c r="R34">
        <v>3.8366585722474711E-9</v>
      </c>
      <c r="T34">
        <f t="shared" si="16"/>
        <v>1.3254153938657968E-9</v>
      </c>
      <c r="V34" s="1">
        <f t="shared" si="17"/>
        <v>2.774646227483837E-9</v>
      </c>
      <c r="X34">
        <f t="shared" si="7"/>
        <v>1.493491519447884E-9</v>
      </c>
      <c r="AA34" t="s">
        <v>251</v>
      </c>
      <c r="AB34" t="s">
        <v>224</v>
      </c>
      <c r="AC34">
        <v>350</v>
      </c>
      <c r="AD34" s="1">
        <v>1.30738564150478E-4</v>
      </c>
      <c r="AE34" s="1">
        <v>3.1535661003970199E-7</v>
      </c>
      <c r="AF34" s="1">
        <v>1.4010093000110299E-6</v>
      </c>
      <c r="AG34">
        <f t="shared" si="18"/>
        <v>1.3074645093836721E-4</v>
      </c>
      <c r="AI34" t="s">
        <v>251</v>
      </c>
      <c r="AJ34" t="s">
        <v>224</v>
      </c>
      <c r="AK34">
        <v>550</v>
      </c>
      <c r="AL34" s="1">
        <v>4.7683439215460901E-5</v>
      </c>
      <c r="AM34">
        <v>-5.2793800000000005E-7</v>
      </c>
      <c r="AN34" s="1">
        <v>-1.3605504999411801E-6</v>
      </c>
      <c r="AO34">
        <f t="shared" si="19"/>
        <v>4.7705766859042201E-5</v>
      </c>
      <c r="AQ34" t="s">
        <v>251</v>
      </c>
      <c r="AR34" t="s">
        <v>224</v>
      </c>
      <c r="AS34">
        <v>600</v>
      </c>
      <c r="AT34" s="1">
        <v>4.0649010715464902E-5</v>
      </c>
      <c r="AU34" s="1">
        <v>-1.08913116003143E-6</v>
      </c>
      <c r="AV34" s="1">
        <v>-1.23818729991821E-6</v>
      </c>
      <c r="AW34">
        <f t="shared" si="20"/>
        <v>4.0682445681392E-5</v>
      </c>
      <c r="AY34" t="s">
        <v>251</v>
      </c>
      <c r="AZ34" t="s">
        <v>224</v>
      </c>
      <c r="BA34">
        <v>800</v>
      </c>
      <c r="BB34">
        <v>1.6835531459528188E-5</v>
      </c>
      <c r="BD34">
        <f t="shared" si="21"/>
        <v>8.304068407932501E-5</v>
      </c>
      <c r="BF34">
        <f t="shared" si="22"/>
        <v>9.0064005256975218E-5</v>
      </c>
      <c r="BH34">
        <f t="shared" si="12"/>
        <v>1.1391091947883903E-4</v>
      </c>
      <c r="BJ34">
        <f t="shared" si="13"/>
        <v>1.5961036551670114E-2</v>
      </c>
      <c r="BL34" s="1">
        <f t="shared" si="14"/>
        <v>3.080749317740283E-2</v>
      </c>
      <c r="BN34">
        <f t="shared" si="15"/>
        <v>1.3111047880930558E-2</v>
      </c>
      <c r="BP34">
        <v>1.8400286366121901</v>
      </c>
      <c r="BQ34" s="3">
        <v>75.91</v>
      </c>
      <c r="BR34">
        <v>11.4</v>
      </c>
      <c r="BT34" s="1">
        <v>2.3510999999999999E-7</v>
      </c>
      <c r="BV34" s="11">
        <f t="shared" si="23"/>
        <v>1.9886734957565049</v>
      </c>
    </row>
    <row r="35" spans="1:81" x14ac:dyDescent="0.25">
      <c r="A35" t="s">
        <v>35</v>
      </c>
      <c r="B35" t="s">
        <v>5</v>
      </c>
      <c r="C35" s="1">
        <v>1.2600000000000001E-3</v>
      </c>
      <c r="D35">
        <v>7.561170544300664E-9</v>
      </c>
      <c r="F35" t="s">
        <v>35</v>
      </c>
      <c r="G35" t="s">
        <v>6</v>
      </c>
      <c r="H35" s="1">
        <v>8.2700000000000004E-4</v>
      </c>
      <c r="I35">
        <v>4.963486677729679E-9</v>
      </c>
      <c r="K35" t="s">
        <v>35</v>
      </c>
      <c r="L35" t="s">
        <v>7</v>
      </c>
      <c r="M35" s="1">
        <v>8.6300000000000005E-4</v>
      </c>
      <c r="N35">
        <v>5.1764683907080898E-9</v>
      </c>
      <c r="P35" t="s">
        <v>35</v>
      </c>
      <c r="Q35" t="s">
        <v>446</v>
      </c>
      <c r="R35">
        <v>4.7016278032187957E-9</v>
      </c>
      <c r="T35">
        <f t="shared" si="16"/>
        <v>2.597683866570985E-9</v>
      </c>
      <c r="V35" s="1">
        <f t="shared" si="17"/>
        <v>2.3847021535925741E-9</v>
      </c>
      <c r="X35">
        <f t="shared" si="7"/>
        <v>2.8595427410818683E-9</v>
      </c>
      <c r="AA35" t="s">
        <v>252</v>
      </c>
      <c r="AB35" t="s">
        <v>224</v>
      </c>
      <c r="AC35">
        <v>350</v>
      </c>
      <c r="AD35" s="1">
        <v>1.5076727059134699E-4</v>
      </c>
      <c r="AE35" s="1">
        <v>-2.1505085699801502E-6</v>
      </c>
      <c r="AF35" s="1">
        <v>2.06130185006617E-6</v>
      </c>
      <c r="AG35">
        <f t="shared" si="18"/>
        <v>1.5079669603141539E-4</v>
      </c>
      <c r="AI35" t="s">
        <v>252</v>
      </c>
      <c r="AJ35" t="s">
        <v>224</v>
      </c>
      <c r="AK35">
        <v>550</v>
      </c>
      <c r="AL35" s="1">
        <v>5.6323323676555897E-5</v>
      </c>
      <c r="AM35" s="1">
        <v>-2.5117267100314301E-6</v>
      </c>
      <c r="AN35" s="1">
        <v>1.12458195003584E-6</v>
      </c>
      <c r="AO35">
        <f t="shared" si="19"/>
        <v>5.6390515564253474E-5</v>
      </c>
      <c r="AQ35" t="s">
        <v>252</v>
      </c>
      <c r="AR35" t="s">
        <v>224</v>
      </c>
      <c r="AS35">
        <v>600</v>
      </c>
      <c r="AT35" s="1">
        <v>4.65551268001858E-5</v>
      </c>
      <c r="AU35" s="1">
        <v>-2.1201151299950401E-6</v>
      </c>
      <c r="AV35" s="1">
        <v>3.8670225004319402E-7</v>
      </c>
      <c r="AW35">
        <f t="shared" si="20"/>
        <v>4.6604981044690929E-5</v>
      </c>
      <c r="AY35" t="s">
        <v>252</v>
      </c>
      <c r="AZ35" t="s">
        <v>224</v>
      </c>
      <c r="BA35">
        <v>800</v>
      </c>
      <c r="BB35">
        <v>1.9923519643102015E-5</v>
      </c>
      <c r="BD35">
        <f t="shared" si="21"/>
        <v>9.4406180467161916E-5</v>
      </c>
      <c r="BF35">
        <f t="shared" si="22"/>
        <v>1.0419171498672445E-4</v>
      </c>
      <c r="BH35">
        <f t="shared" si="12"/>
        <v>1.3087317638831337E-4</v>
      </c>
      <c r="BJ35">
        <f t="shared" si="13"/>
        <v>2.7516036065822605E-2</v>
      </c>
      <c r="BL35" s="1">
        <f t="shared" si="14"/>
        <v>2.2887637024656134E-2</v>
      </c>
      <c r="BN35">
        <f t="shared" si="15"/>
        <v>2.1849723679032047E-2</v>
      </c>
      <c r="BP35">
        <v>2.3137998631447028</v>
      </c>
      <c r="BQ35" s="4">
        <v>75.929999999999993</v>
      </c>
      <c r="BR35">
        <v>12.05</v>
      </c>
      <c r="BT35" s="1">
        <v>2.4956999999999998E-7</v>
      </c>
      <c r="BV35" s="11">
        <f t="shared" si="23"/>
        <v>2.5142566523301952</v>
      </c>
    </row>
    <row r="36" spans="1:81" x14ac:dyDescent="0.25">
      <c r="A36" t="s">
        <v>36</v>
      </c>
      <c r="B36" t="s">
        <v>5</v>
      </c>
      <c r="C36" s="1">
        <v>3.8699999999999997E-4</v>
      </c>
      <c r="D36">
        <v>2.3262794329142835E-9</v>
      </c>
      <c r="F36" t="s">
        <v>36</v>
      </c>
      <c r="G36" t="s">
        <v>6</v>
      </c>
      <c r="H36" s="1">
        <v>1.8799999999999999E-4</v>
      </c>
      <c r="I36">
        <v>1.127741991769394E-9</v>
      </c>
      <c r="K36" t="s">
        <v>36</v>
      </c>
      <c r="L36" t="s">
        <v>7</v>
      </c>
      <c r="M36" s="1">
        <v>3.3399999999999999E-4</v>
      </c>
      <c r="N36">
        <v>2.0058337418639663E-9</v>
      </c>
      <c r="P36" t="s">
        <v>36</v>
      </c>
      <c r="Q36" t="s">
        <v>446</v>
      </c>
      <c r="R36">
        <v>1.9051750680711736E-9</v>
      </c>
      <c r="T36">
        <f t="shared" si="16"/>
        <v>1.1985374411448896E-9</v>
      </c>
      <c r="V36" s="1">
        <f t="shared" si="17"/>
        <v>3.2044569105031723E-10</v>
      </c>
      <c r="X36">
        <f t="shared" si="7"/>
        <v>4.2110436484310992E-10</v>
      </c>
      <c r="AA36" t="s">
        <v>253</v>
      </c>
      <c r="AB36" t="s">
        <v>224</v>
      </c>
      <c r="AC36">
        <v>350</v>
      </c>
      <c r="AD36" s="1">
        <v>1.31184838621623E-4</v>
      </c>
      <c r="AE36" s="1">
        <v>-2.10950703001158E-6</v>
      </c>
      <c r="AF36" s="1">
        <v>1.7018599500762799E-6</v>
      </c>
      <c r="AG36">
        <f t="shared" si="18"/>
        <v>1.3121283561976936E-4</v>
      </c>
      <c r="AI36" t="s">
        <v>253</v>
      </c>
      <c r="AJ36" t="s">
        <v>224</v>
      </c>
      <c r="AK36">
        <v>550</v>
      </c>
      <c r="AL36" s="1">
        <v>4.8283174428031499E-5</v>
      </c>
      <c r="AM36" s="1">
        <v>-6.2032714996691503E-7</v>
      </c>
      <c r="AN36" s="1">
        <v>9.2142450008822697E-7</v>
      </c>
      <c r="AO36">
        <f t="shared" si="19"/>
        <v>4.8295949744570333E-5</v>
      </c>
      <c r="AQ36" t="s">
        <v>253</v>
      </c>
      <c r="AR36" t="s">
        <v>224</v>
      </c>
      <c r="AS36">
        <v>600</v>
      </c>
      <c r="AT36" s="1">
        <v>4.1140173556190702E-5</v>
      </c>
      <c r="AU36" s="1">
        <v>-1.58850130000827E-6</v>
      </c>
      <c r="AV36" s="1">
        <v>4.3961940011120299E-7</v>
      </c>
      <c r="AW36">
        <f t="shared" si="20"/>
        <v>4.1173176727459043E-5</v>
      </c>
      <c r="AY36" t="s">
        <v>253</v>
      </c>
      <c r="AZ36" t="s">
        <v>224</v>
      </c>
      <c r="BA36">
        <v>800</v>
      </c>
      <c r="BB36">
        <v>1.9002976288200323E-5</v>
      </c>
      <c r="BD36">
        <f t="shared" si="21"/>
        <v>8.2916885875199034E-5</v>
      </c>
      <c r="BF36">
        <f t="shared" si="22"/>
        <v>9.0039658892310324E-5</v>
      </c>
      <c r="BH36">
        <f t="shared" si="12"/>
        <v>1.1220985933156903E-4</v>
      </c>
      <c r="BJ36">
        <f t="shared" si="13"/>
        <v>1.4454684694126698E-2</v>
      </c>
      <c r="BL36" s="1">
        <f t="shared" si="14"/>
        <v>3.558939416169693E-3</v>
      </c>
      <c r="BN36">
        <f t="shared" si="15"/>
        <v>3.7528285602674914E-3</v>
      </c>
      <c r="BP36">
        <v>1.2422083228291301</v>
      </c>
      <c r="BQ36" s="6">
        <v>75.949999999999989</v>
      </c>
      <c r="BR36">
        <v>10.33</v>
      </c>
      <c r="BT36" s="1">
        <v>2.488E-7</v>
      </c>
      <c r="BV36" s="11">
        <f t="shared" si="23"/>
        <v>0.90513046667149799</v>
      </c>
    </row>
    <row r="37" spans="1:81" x14ac:dyDescent="0.25">
      <c r="A37" t="s">
        <v>37</v>
      </c>
      <c r="B37" t="s">
        <v>5</v>
      </c>
      <c r="C37" s="1">
        <v>3.0400000000000002E-4</v>
      </c>
      <c r="D37">
        <v>1.8210549140539392E-9</v>
      </c>
      <c r="F37" t="s">
        <v>37</v>
      </c>
      <c r="G37" t="s">
        <v>6</v>
      </c>
      <c r="H37" s="1">
        <v>3.5500000000000001E-4</v>
      </c>
      <c r="I37">
        <v>2.1344650383644143E-9</v>
      </c>
      <c r="K37" t="s">
        <v>37</v>
      </c>
      <c r="L37" t="s">
        <v>7</v>
      </c>
      <c r="M37" s="1">
        <v>2.7999999999999998E-4</v>
      </c>
      <c r="N37">
        <v>1.6849952522188303E-9</v>
      </c>
      <c r="P37" t="s">
        <v>37</v>
      </c>
      <c r="Q37" t="s">
        <v>446</v>
      </c>
      <c r="R37">
        <v>5.4309690663821681E-9</v>
      </c>
      <c r="T37">
        <f t="shared" si="16"/>
        <v>-3.1341012431047516E-10</v>
      </c>
      <c r="V37" s="1">
        <f t="shared" si="17"/>
        <v>1.3605966183510885E-10</v>
      </c>
      <c r="X37">
        <f t="shared" si="7"/>
        <v>-3.609914152328229E-9</v>
      </c>
      <c r="AA37" t="s">
        <v>254</v>
      </c>
      <c r="AB37" t="s">
        <v>224</v>
      </c>
      <c r="AC37">
        <v>350</v>
      </c>
      <c r="AD37" s="1">
        <v>1.3612079086217901E-4</v>
      </c>
      <c r="AE37" s="1">
        <v>-2.8563666099652599E-6</v>
      </c>
      <c r="AF37" s="1">
        <v>2.7604496501038498E-6</v>
      </c>
      <c r="AG37">
        <f t="shared" si="18"/>
        <v>1.3617873775823581E-4</v>
      </c>
      <c r="AI37" t="s">
        <v>254</v>
      </c>
      <c r="AJ37" t="s">
        <v>224</v>
      </c>
      <c r="AK37">
        <v>550</v>
      </c>
      <c r="AL37" s="1">
        <v>5.0062301975632701E-5</v>
      </c>
      <c r="AM37" s="1">
        <v>-2.5369887899851098E-6</v>
      </c>
      <c r="AN37" s="1">
        <v>1.7980729500193E-6</v>
      </c>
      <c r="AO37">
        <f t="shared" si="19"/>
        <v>5.0158782456849357E-5</v>
      </c>
      <c r="AQ37" t="s">
        <v>254</v>
      </c>
      <c r="AR37" t="s">
        <v>224</v>
      </c>
      <c r="AS37">
        <v>600</v>
      </c>
      <c r="AT37" s="1">
        <v>4.0949829175148299E-5</v>
      </c>
      <c r="AU37" s="1">
        <v>-1.3661505899933801E-6</v>
      </c>
      <c r="AV37" s="1">
        <v>3.0146740004227499E-7</v>
      </c>
      <c r="AW37">
        <f t="shared" si="20"/>
        <v>4.0973720352216667E-5</v>
      </c>
      <c r="AY37" t="s">
        <v>254</v>
      </c>
      <c r="AZ37" t="s">
        <v>224</v>
      </c>
      <c r="BA37">
        <v>800</v>
      </c>
      <c r="BB37">
        <v>1.768852545518071E-5</v>
      </c>
      <c r="BD37">
        <f t="shared" si="21"/>
        <v>8.6019955301386449E-5</v>
      </c>
      <c r="BF37">
        <f t="shared" si="22"/>
        <v>9.5205017406019138E-5</v>
      </c>
      <c r="BH37">
        <f t="shared" si="12"/>
        <v>1.184902123030551E-4</v>
      </c>
      <c r="BJ37">
        <f t="shared" si="13"/>
        <v>-3.6434583488492434E-3</v>
      </c>
      <c r="BL37" s="1">
        <f t="shared" si="14"/>
        <v>1.4291228082534519E-3</v>
      </c>
      <c r="BN37">
        <f t="shared" si="15"/>
        <v>-3.0465926950112764E-2</v>
      </c>
      <c r="BP37">
        <v>0.4501498179043022</v>
      </c>
      <c r="BQ37" s="4">
        <v>75.969999999999985</v>
      </c>
      <c r="BR37">
        <v>11.53</v>
      </c>
      <c r="BT37" s="1">
        <v>2.4238999999999999E-7</v>
      </c>
      <c r="BV37" s="11">
        <f t="shared" si="23"/>
        <v>0.65159694010356584</v>
      </c>
    </row>
    <row r="38" spans="1:81" x14ac:dyDescent="0.25">
      <c r="A38" t="s">
        <v>38</v>
      </c>
      <c r="B38" t="s">
        <v>5</v>
      </c>
      <c r="C38" s="1">
        <v>6.6799999999999997E-4</v>
      </c>
      <c r="D38">
        <v>4.0135520427671053E-9</v>
      </c>
      <c r="F38" t="s">
        <v>38</v>
      </c>
      <c r="G38" t="s">
        <v>6</v>
      </c>
      <c r="H38" s="1">
        <v>4.4999999999999999E-4</v>
      </c>
      <c r="I38">
        <v>2.7034540869043812E-9</v>
      </c>
      <c r="K38" t="s">
        <v>38</v>
      </c>
      <c r="L38" t="s">
        <v>7</v>
      </c>
      <c r="M38" s="1">
        <v>4.2200000000000001E-4</v>
      </c>
      <c r="N38">
        <v>2.5304181472634122E-9</v>
      </c>
      <c r="P38" t="s">
        <v>38</v>
      </c>
      <c r="Q38" t="s">
        <v>446</v>
      </c>
      <c r="R38">
        <v>2.7984324183370947E-9</v>
      </c>
      <c r="T38">
        <f t="shared" si="16"/>
        <v>1.3100979558627241E-9</v>
      </c>
      <c r="V38" s="1">
        <f t="shared" si="17"/>
        <v>1.4831338955036931E-9</v>
      </c>
      <c r="X38">
        <f t="shared" si="7"/>
        <v>1.2151196244300106E-9</v>
      </c>
      <c r="AA38" t="s">
        <v>255</v>
      </c>
      <c r="AB38" t="s">
        <v>224</v>
      </c>
      <c r="AC38">
        <v>350</v>
      </c>
      <c r="AD38" s="1">
        <v>1.2746878877615501E-4</v>
      </c>
      <c r="AE38" s="1">
        <v>-2.02587573000331E-6</v>
      </c>
      <c r="AF38" s="1">
        <v>-3.2687749944858302E-8</v>
      </c>
      <c r="AG38">
        <f t="shared" si="18"/>
        <v>1.2748489068521978E-4</v>
      </c>
      <c r="AI38" t="s">
        <v>255</v>
      </c>
      <c r="AJ38" t="s">
        <v>224</v>
      </c>
      <c r="AK38">
        <v>550</v>
      </c>
      <c r="AL38" s="1">
        <v>4.4308496786831097E-5</v>
      </c>
      <c r="AM38" s="1">
        <v>-2.2897953899603001E-6</v>
      </c>
      <c r="AN38" s="1">
        <v>-3.3276129498805301E-6</v>
      </c>
      <c r="AO38">
        <f t="shared" si="19"/>
        <v>4.4492235933707779E-5</v>
      </c>
      <c r="AQ38" t="s">
        <v>255</v>
      </c>
      <c r="AR38" t="s">
        <v>224</v>
      </c>
      <c r="AS38">
        <v>600</v>
      </c>
      <c r="AT38" s="1">
        <v>3.7397234903460501E-5</v>
      </c>
      <c r="AU38" s="1">
        <v>-2.0897956999917299E-6</v>
      </c>
      <c r="AV38" s="1">
        <v>-8.2015414990533995E-7</v>
      </c>
      <c r="AW38">
        <f t="shared" si="20"/>
        <v>3.7464557615457246E-5</v>
      </c>
      <c r="AY38" t="s">
        <v>255</v>
      </c>
      <c r="AZ38" t="s">
        <v>224</v>
      </c>
      <c r="BA38">
        <v>800</v>
      </c>
      <c r="BB38">
        <v>1.5593286463729387E-5</v>
      </c>
      <c r="BD38">
        <f t="shared" si="21"/>
        <v>8.2992654751512008E-5</v>
      </c>
      <c r="BF38">
        <f t="shared" si="22"/>
        <v>9.0020333069762534E-5</v>
      </c>
      <c r="BH38">
        <f t="shared" si="12"/>
        <v>1.1189160422149039E-4</v>
      </c>
      <c r="BJ38">
        <f t="shared" si="13"/>
        <v>1.5785709708711973E-2</v>
      </c>
      <c r="BL38" s="1">
        <f t="shared" si="14"/>
        <v>1.6475543301470764E-2</v>
      </c>
      <c r="BN38">
        <f t="shared" si="15"/>
        <v>1.0859792679571123E-2</v>
      </c>
      <c r="BP38">
        <v>1.4976189326577258</v>
      </c>
      <c r="BQ38" s="4">
        <v>75.989999999999981</v>
      </c>
      <c r="BR38">
        <v>11.3</v>
      </c>
      <c r="BT38" s="1">
        <v>2.2821999999999999E-7</v>
      </c>
      <c r="BV38" s="11">
        <f t="shared" si="23"/>
        <v>1.556312315770106</v>
      </c>
    </row>
    <row r="39" spans="1:81" x14ac:dyDescent="0.25">
      <c r="A39" t="s">
        <v>39</v>
      </c>
      <c r="B39" t="s">
        <v>5</v>
      </c>
      <c r="C39" s="1">
        <v>4.1300000000000001E-4</v>
      </c>
      <c r="D39">
        <v>2.8917754062167415E-9</v>
      </c>
      <c r="F39" t="s">
        <v>39</v>
      </c>
      <c r="G39" t="s">
        <v>6</v>
      </c>
      <c r="H39" s="1">
        <v>2.52E-4</v>
      </c>
      <c r="I39">
        <v>1.7687320317108524E-9</v>
      </c>
      <c r="K39" t="s">
        <v>39</v>
      </c>
      <c r="L39" t="s">
        <v>7</v>
      </c>
      <c r="M39" s="1">
        <v>2.34E-4</v>
      </c>
      <c r="N39">
        <v>1.6380161781862839E-9</v>
      </c>
      <c r="P39" t="s">
        <v>39</v>
      </c>
      <c r="Q39" t="s">
        <v>446</v>
      </c>
      <c r="R39">
        <v>2.5078534646186964E-9</v>
      </c>
      <c r="T39">
        <f t="shared" si="16"/>
        <v>1.1230433745058892E-9</v>
      </c>
      <c r="V39" s="1">
        <f t="shared" si="17"/>
        <v>1.2537592280304576E-9</v>
      </c>
      <c r="X39">
        <f t="shared" si="7"/>
        <v>3.8392194159804513E-10</v>
      </c>
      <c r="AA39" t="s">
        <v>256</v>
      </c>
      <c r="AB39" t="s">
        <v>224</v>
      </c>
      <c r="AC39">
        <v>350</v>
      </c>
      <c r="AD39" s="1">
        <v>1.20023510016398E-4</v>
      </c>
      <c r="AE39" s="1">
        <v>-2.1680489400016499E-6</v>
      </c>
      <c r="AF39" s="1">
        <v>2.3330419001295798E-6</v>
      </c>
      <c r="AG39">
        <f t="shared" si="18"/>
        <v>1.2006575897136699E-4</v>
      </c>
      <c r="AI39" t="s">
        <v>256</v>
      </c>
      <c r="AJ39" t="s">
        <v>224</v>
      </c>
      <c r="AK39">
        <v>550</v>
      </c>
      <c r="AL39" s="1">
        <v>4.3597668353416999E-5</v>
      </c>
      <c r="AM39" s="1">
        <v>-1.33087248996857E-6</v>
      </c>
      <c r="AN39" s="1">
        <v>-1.2861704498814499E-6</v>
      </c>
      <c r="AO39">
        <f t="shared" si="19"/>
        <v>4.3636935523306873E-5</v>
      </c>
      <c r="AQ39" t="s">
        <v>256</v>
      </c>
      <c r="AR39" t="s">
        <v>224</v>
      </c>
      <c r="AS39">
        <v>600</v>
      </c>
      <c r="AT39" s="1">
        <v>3.6277944387165202E-5</v>
      </c>
      <c r="AU39" s="1">
        <v>-1.6041914199470601E-6</v>
      </c>
      <c r="AV39" s="1">
        <v>1.49302840009926E-6</v>
      </c>
      <c r="AW39">
        <f t="shared" ref="AW39:AW70" si="24">SQRT(AT39^2+AU39^2+AV39^2)</f>
        <v>3.6344075347621462E-5</v>
      </c>
      <c r="AY39" t="s">
        <v>256</v>
      </c>
      <c r="AZ39" t="s">
        <v>224</v>
      </c>
      <c r="BA39">
        <v>800</v>
      </c>
      <c r="BB39">
        <v>1.5055794711079053E-5</v>
      </c>
      <c r="BD39">
        <f t="shared" si="21"/>
        <v>7.6428823448060113E-5</v>
      </c>
      <c r="BF39">
        <f t="shared" si="22"/>
        <v>8.3721683623745537E-5</v>
      </c>
      <c r="BH39">
        <f t="shared" si="12"/>
        <v>1.0500996426028795E-4</v>
      </c>
      <c r="BJ39">
        <f t="shared" si="13"/>
        <v>1.469397700815181E-2</v>
      </c>
      <c r="BL39" s="1">
        <f t="shared" si="14"/>
        <v>1.4975322685398799E-2</v>
      </c>
      <c r="BN39">
        <f t="shared" si="15"/>
        <v>3.6560524927560087E-3</v>
      </c>
      <c r="BP39">
        <v>1.5975406604035594</v>
      </c>
      <c r="BQ39" s="4">
        <v>76.009999999999977</v>
      </c>
      <c r="BR39">
        <v>10.75</v>
      </c>
      <c r="BT39" s="1">
        <v>2.2476999999999999E-7</v>
      </c>
      <c r="BV39" s="11">
        <f t="shared" si="23"/>
        <v>1.1967894441829392</v>
      </c>
    </row>
    <row r="40" spans="1:81" x14ac:dyDescent="0.25">
      <c r="A40" t="s">
        <v>40</v>
      </c>
      <c r="B40" t="s">
        <v>5</v>
      </c>
      <c r="C40" s="1">
        <v>5.6800000000000004E-4</v>
      </c>
      <c r="D40">
        <v>3.9816328308873485E-9</v>
      </c>
      <c r="F40" t="s">
        <v>40</v>
      </c>
      <c r="G40" t="s">
        <v>6</v>
      </c>
      <c r="H40" s="1">
        <v>4.7600000000000002E-4</v>
      </c>
      <c r="I40">
        <v>3.3296806153143278E-9</v>
      </c>
      <c r="K40" t="s">
        <v>40</v>
      </c>
      <c r="L40" t="s">
        <v>7</v>
      </c>
      <c r="M40" s="1">
        <v>4.5899999999999999E-4</v>
      </c>
      <c r="N40">
        <v>3.2080367828315188E-9</v>
      </c>
      <c r="P40" t="s">
        <v>40</v>
      </c>
      <c r="Q40" t="s">
        <v>446</v>
      </c>
      <c r="R40">
        <v>2.3447353795258005E-9</v>
      </c>
      <c r="T40">
        <f t="shared" si="16"/>
        <v>6.5195221557302074E-10</v>
      </c>
      <c r="V40" s="1">
        <f t="shared" si="17"/>
        <v>7.7359604805582972E-10</v>
      </c>
      <c r="X40">
        <f t="shared" si="7"/>
        <v>1.636897451361548E-9</v>
      </c>
      <c r="AA40" t="s">
        <v>257</v>
      </c>
      <c r="AB40" t="s">
        <v>224</v>
      </c>
      <c r="AC40">
        <v>350</v>
      </c>
      <c r="AD40" s="1">
        <v>1.30677798997604E-4</v>
      </c>
      <c r="AE40" s="1">
        <v>-2.1081255099983502E-6</v>
      </c>
      <c r="AF40" s="1">
        <v>3.1675046500597398E-6</v>
      </c>
      <c r="AG40">
        <f t="shared" si="18"/>
        <v>1.3073318029380396E-4</v>
      </c>
      <c r="AI40" t="s">
        <v>257</v>
      </c>
      <c r="AJ40" t="s">
        <v>224</v>
      </c>
      <c r="AK40">
        <v>550</v>
      </c>
      <c r="AL40" s="1">
        <v>4.6443104872862797E-5</v>
      </c>
      <c r="AM40" s="1">
        <v>-1.69445894998346E-6</v>
      </c>
      <c r="AN40" s="1">
        <v>8.35696250055142E-7</v>
      </c>
      <c r="AO40">
        <f t="shared" si="19"/>
        <v>4.6481518580907692E-5</v>
      </c>
      <c r="AQ40" t="s">
        <v>257</v>
      </c>
      <c r="AR40" t="s">
        <v>224</v>
      </c>
      <c r="AS40">
        <v>600</v>
      </c>
      <c r="AT40" s="1">
        <v>3.95771293931516E-5</v>
      </c>
      <c r="AU40" s="1">
        <v>-1.76881433001158E-6</v>
      </c>
      <c r="AV40" s="1">
        <v>2.08831550090984E-7</v>
      </c>
      <c r="AW40">
        <f t="shared" si="24"/>
        <v>3.9617186747075212E-5</v>
      </c>
      <c r="AY40" t="s">
        <v>257</v>
      </c>
      <c r="AZ40" t="s">
        <v>224</v>
      </c>
      <c r="BA40">
        <v>800</v>
      </c>
      <c r="BB40">
        <v>1.6235395751025866E-5</v>
      </c>
      <c r="BD40">
        <f t="shared" si="21"/>
        <v>8.4251661712896259E-5</v>
      </c>
      <c r="BF40">
        <f t="shared" si="22"/>
        <v>9.1115993546728746E-5</v>
      </c>
      <c r="BH40">
        <f t="shared" si="12"/>
        <v>1.144977845427781E-4</v>
      </c>
      <c r="BJ40">
        <f t="shared" si="13"/>
        <v>7.7381526051637211E-3</v>
      </c>
      <c r="BL40" s="1">
        <f t="shared" si="14"/>
        <v>8.4902333601739391E-3</v>
      </c>
      <c r="BN40">
        <f t="shared" si="15"/>
        <v>1.4296324229312738E-2</v>
      </c>
      <c r="BP40">
        <v>2.1408194568975589</v>
      </c>
      <c r="BQ40" s="4">
        <v>76.029999999999973</v>
      </c>
      <c r="BR40">
        <v>10.65</v>
      </c>
      <c r="BT40" s="1">
        <v>2.4601999999999998E-7</v>
      </c>
      <c r="BV40" s="11">
        <f t="shared" si="23"/>
        <v>1.5196416455654198</v>
      </c>
    </row>
    <row r="41" spans="1:81" x14ac:dyDescent="0.25">
      <c r="A41" t="s">
        <v>41</v>
      </c>
      <c r="B41" t="s">
        <v>5</v>
      </c>
      <c r="C41" s="1">
        <v>1.2999999999999999E-3</v>
      </c>
      <c r="D41">
        <v>7.7977112026542757E-9</v>
      </c>
      <c r="F41" t="s">
        <v>41</v>
      </c>
      <c r="G41" t="s">
        <v>6</v>
      </c>
      <c r="H41" s="1">
        <v>1.07E-3</v>
      </c>
      <c r="I41">
        <v>6.4214017161364383E-9</v>
      </c>
      <c r="K41" t="s">
        <v>41</v>
      </c>
      <c r="L41" t="s">
        <v>7</v>
      </c>
      <c r="M41" s="1">
        <v>1.1000000000000001E-3</v>
      </c>
      <c r="N41">
        <v>6.6014619592935626E-9</v>
      </c>
      <c r="P41" t="s">
        <v>41</v>
      </c>
      <c r="Q41" t="s">
        <v>446</v>
      </c>
      <c r="R41">
        <v>6.6576347151221803E-9</v>
      </c>
      <c r="T41">
        <f t="shared" si="16"/>
        <v>1.3763094865178374E-9</v>
      </c>
      <c r="V41" s="1">
        <f t="shared" si="17"/>
        <v>1.196249243360713E-9</v>
      </c>
      <c r="X41">
        <f t="shared" si="7"/>
        <v>1.1400764875320954E-9</v>
      </c>
      <c r="AA41" t="s">
        <v>258</v>
      </c>
      <c r="AB41" t="s">
        <v>224</v>
      </c>
      <c r="AC41">
        <v>350</v>
      </c>
      <c r="AD41" s="1">
        <v>1.23526926065603E-4</v>
      </c>
      <c r="AE41" s="1">
        <v>-2.07319279002647E-6</v>
      </c>
      <c r="AF41" s="1">
        <v>2.1702199001213101E-6</v>
      </c>
      <c r="AG41">
        <f t="shared" si="18"/>
        <v>1.2356338230226803E-4</v>
      </c>
      <c r="AI41" t="s">
        <v>258</v>
      </c>
      <c r="AJ41" t="s">
        <v>224</v>
      </c>
      <c r="AK41">
        <v>550</v>
      </c>
      <c r="AL41" s="1">
        <v>4.4029171700508102E-5</v>
      </c>
      <c r="AM41" s="1">
        <v>-7.1676218001157999E-7</v>
      </c>
      <c r="AN41" s="1">
        <v>6.8360570003400396E-7</v>
      </c>
      <c r="AO41">
        <f t="shared" si="19"/>
        <v>4.404031136820717E-5</v>
      </c>
      <c r="AQ41" t="s">
        <v>258</v>
      </c>
      <c r="AR41" t="s">
        <v>224</v>
      </c>
      <c r="AS41">
        <v>600</v>
      </c>
      <c r="AT41" s="1">
        <v>3.6540817800917303E-5</v>
      </c>
      <c r="AU41">
        <v>-9.0378544999999998E-7</v>
      </c>
      <c r="AV41" s="1">
        <v>3.4538000004043702E-7</v>
      </c>
      <c r="AW41">
        <f t="shared" si="24"/>
        <v>3.6553624731945457E-5</v>
      </c>
      <c r="AY41" t="s">
        <v>258</v>
      </c>
      <c r="AZ41" t="s">
        <v>224</v>
      </c>
      <c r="BA41">
        <v>800</v>
      </c>
      <c r="BB41">
        <v>1.4943715343130206E-5</v>
      </c>
      <c r="BD41">
        <f t="shared" si="21"/>
        <v>7.9523070934060862E-5</v>
      </c>
      <c r="BF41">
        <f t="shared" si="22"/>
        <v>8.7009757570322575E-5</v>
      </c>
      <c r="BH41">
        <f t="shared" si="12"/>
        <v>1.0861966695913783E-4</v>
      </c>
      <c r="BJ41">
        <f t="shared" si="13"/>
        <v>1.7307046500493539E-2</v>
      </c>
      <c r="BL41" s="1">
        <f t="shared" si="14"/>
        <v>1.3748449332178482E-2</v>
      </c>
      <c r="BN41">
        <f t="shared" si="15"/>
        <v>1.0496041089510856E-2</v>
      </c>
      <c r="BP41">
        <v>3.4595380950688472</v>
      </c>
      <c r="BQ41" s="4">
        <v>76.049999999999969</v>
      </c>
      <c r="BR41">
        <v>11.79</v>
      </c>
      <c r="BT41" s="1">
        <v>2.1183000000000001E-7</v>
      </c>
      <c r="BV41" s="11">
        <f t="shared" si="23"/>
        <v>3.1222370662722669</v>
      </c>
    </row>
    <row r="42" spans="1:81" x14ac:dyDescent="0.25">
      <c r="A42" t="s">
        <v>42</v>
      </c>
      <c r="B42" t="s">
        <v>5</v>
      </c>
      <c r="C42" s="1">
        <v>9.4499999999999998E-4</v>
      </c>
      <c r="D42">
        <v>5.6653684787487563E-9</v>
      </c>
      <c r="F42" t="s">
        <v>42</v>
      </c>
      <c r="G42" t="s">
        <v>6</v>
      </c>
      <c r="H42" s="1">
        <v>7.0299999999999996E-4</v>
      </c>
      <c r="I42">
        <v>4.2170605876605573E-9</v>
      </c>
      <c r="K42" t="s">
        <v>42</v>
      </c>
      <c r="L42" t="s">
        <v>7</v>
      </c>
      <c r="M42" s="1">
        <v>5.7700000000000004E-4</v>
      </c>
      <c r="N42">
        <v>3.4636381162009403E-9</v>
      </c>
      <c r="P42" t="s">
        <v>42</v>
      </c>
      <c r="Q42" t="s">
        <v>446</v>
      </c>
      <c r="R42">
        <v>4.2645449933140581E-9</v>
      </c>
      <c r="T42">
        <f t="shared" si="16"/>
        <v>1.4483078910881989E-9</v>
      </c>
      <c r="V42" s="1">
        <f t="shared" si="17"/>
        <v>2.2017303625478159E-9</v>
      </c>
      <c r="X42">
        <f t="shared" si="7"/>
        <v>1.4008234854346981E-9</v>
      </c>
      <c r="AA42" t="s">
        <v>259</v>
      </c>
      <c r="AB42" t="s">
        <v>224</v>
      </c>
      <c r="AC42">
        <v>350</v>
      </c>
      <c r="AD42" s="1">
        <v>1.3296927314556599E-4</v>
      </c>
      <c r="AE42" s="1">
        <v>-2.0127019500579001E-6</v>
      </c>
      <c r="AF42" s="1">
        <v>2.7005015500229801E-6</v>
      </c>
      <c r="AG42">
        <f t="shared" si="18"/>
        <v>1.3301192156578139E-4</v>
      </c>
      <c r="AI42" t="s">
        <v>259</v>
      </c>
      <c r="AJ42" t="s">
        <v>224</v>
      </c>
      <c r="AK42">
        <v>550</v>
      </c>
      <c r="AL42" s="1">
        <v>5.0683132516146903E-5</v>
      </c>
      <c r="AM42" s="1">
        <v>-2.7025491599817998E-6</v>
      </c>
      <c r="AN42" s="1">
        <v>7.10989400052385E-7</v>
      </c>
      <c r="AO42">
        <f t="shared" si="19"/>
        <v>5.076011425852401E-5</v>
      </c>
      <c r="AQ42" t="s">
        <v>259</v>
      </c>
      <c r="AR42" t="s">
        <v>224</v>
      </c>
      <c r="AS42">
        <v>600</v>
      </c>
      <c r="AT42" s="1">
        <v>4.2068810116439498E-5</v>
      </c>
      <c r="AU42" s="1">
        <v>-2.7174745099983499E-6</v>
      </c>
      <c r="AV42" s="1">
        <v>-1.24213449947615E-7</v>
      </c>
      <c r="AW42">
        <f t="shared" si="24"/>
        <v>4.215667066202786E-5</v>
      </c>
      <c r="AY42" t="s">
        <v>259</v>
      </c>
      <c r="AZ42" t="s">
        <v>224</v>
      </c>
      <c r="BA42">
        <v>800</v>
      </c>
      <c r="BB42">
        <v>1.9467063633267999E-5</v>
      </c>
      <c r="BD42">
        <f t="shared" si="21"/>
        <v>8.2251807307257376E-5</v>
      </c>
      <c r="BF42">
        <f t="shared" si="22"/>
        <v>9.0855250903753527E-5</v>
      </c>
      <c r="BH42">
        <f t="shared" si="12"/>
        <v>1.1354485793251338E-4</v>
      </c>
      <c r="BJ42">
        <f t="shared" si="13"/>
        <v>1.7608219667173311E-2</v>
      </c>
      <c r="BL42" s="1">
        <f t="shared" si="14"/>
        <v>2.4233385969955591E-2</v>
      </c>
      <c r="BN42">
        <f t="shared" si="15"/>
        <v>1.2337181189370043E-2</v>
      </c>
      <c r="BP42">
        <v>2.1159552435671198</v>
      </c>
      <c r="BQ42" s="4">
        <v>76.069999999999965</v>
      </c>
      <c r="BR42">
        <v>12.89</v>
      </c>
      <c r="BT42" s="1">
        <v>2.0389999999999999E-7</v>
      </c>
      <c r="BV42" s="11">
        <f t="shared" si="23"/>
        <v>2.1555495908712445</v>
      </c>
    </row>
    <row r="43" spans="1:81" ht="18.75" x14ac:dyDescent="0.3">
      <c r="A43" t="s">
        <v>43</v>
      </c>
      <c r="B43" t="s">
        <v>5</v>
      </c>
      <c r="C43" s="1">
        <v>6.4599999999999998E-4</v>
      </c>
      <c r="D43">
        <v>3.8744709316240843E-9</v>
      </c>
      <c r="F43" t="s">
        <v>43</v>
      </c>
      <c r="G43" t="s">
        <v>6</v>
      </c>
      <c r="H43" s="1">
        <v>9.4500000000000007E-5</v>
      </c>
      <c r="I43">
        <v>5.6732794748716552E-10</v>
      </c>
      <c r="K43" t="s">
        <v>43</v>
      </c>
      <c r="L43" t="s">
        <v>7</v>
      </c>
      <c r="M43" s="1">
        <v>1.9799999999999999E-4</v>
      </c>
      <c r="N43">
        <v>1.1872914553722688E-9</v>
      </c>
      <c r="P43" t="s">
        <v>43</v>
      </c>
      <c r="Q43" t="s">
        <v>446</v>
      </c>
      <c r="R43">
        <v>1.8673232178709715E-9</v>
      </c>
      <c r="T43">
        <f t="shared" si="16"/>
        <v>3.3071429841369187E-9</v>
      </c>
      <c r="V43" s="1">
        <f t="shared" si="17"/>
        <v>2.6871794762518155E-9</v>
      </c>
      <c r="X43">
        <f t="shared" si="7"/>
        <v>2.0071477137531128E-9</v>
      </c>
      <c r="AA43" t="s">
        <v>260</v>
      </c>
      <c r="AB43" t="s">
        <v>224</v>
      </c>
      <c r="AC43">
        <v>350</v>
      </c>
      <c r="AD43" s="1">
        <v>1.47388126802459E-4</v>
      </c>
      <c r="AE43" s="1">
        <v>-1.7587736399933799E-6</v>
      </c>
      <c r="AF43" s="1">
        <v>1.0566161000036801E-6</v>
      </c>
      <c r="AG43">
        <f t="shared" si="18"/>
        <v>1.4740240718739045E-4</v>
      </c>
      <c r="AI43" t="s">
        <v>260</v>
      </c>
      <c r="AJ43" t="s">
        <v>224</v>
      </c>
      <c r="AK43">
        <v>550</v>
      </c>
      <c r="AL43" s="1">
        <v>5.1518940795947098E-5</v>
      </c>
      <c r="AM43" s="1">
        <v>-2.3523338400182E-6</v>
      </c>
      <c r="AN43" s="1">
        <v>8.4778455007995602E-7</v>
      </c>
      <c r="AO43">
        <f t="shared" si="19"/>
        <v>5.1579583886209776E-5</v>
      </c>
      <c r="AQ43" t="s">
        <v>260</v>
      </c>
      <c r="AR43" t="s">
        <v>224</v>
      </c>
      <c r="AS43">
        <v>600</v>
      </c>
      <c r="AT43" s="1">
        <v>4.2708613191589802E-5</v>
      </c>
      <c r="AU43" s="1">
        <v>-2.6647547200297799E-6</v>
      </c>
      <c r="AV43" s="1">
        <v>6.5387835009557901E-7</v>
      </c>
      <c r="AW43">
        <f t="shared" si="24"/>
        <v>4.2796660095893969E-5</v>
      </c>
      <c r="AY43" t="s">
        <v>260</v>
      </c>
      <c r="AZ43" t="s">
        <v>224</v>
      </c>
      <c r="BA43">
        <v>800</v>
      </c>
      <c r="BB43">
        <v>1.6515331222599942E-5</v>
      </c>
      <c r="BD43">
        <f t="shared" si="21"/>
        <v>9.5822823301180667E-5</v>
      </c>
      <c r="BF43">
        <f t="shared" si="22"/>
        <v>1.0460574709149649E-4</v>
      </c>
      <c r="BH43">
        <f t="shared" si="12"/>
        <v>1.308870759647905E-4</v>
      </c>
      <c r="BJ43">
        <f t="shared" si="13"/>
        <v>3.4513103143937213E-2</v>
      </c>
      <c r="BL43" s="1">
        <f t="shared" si="14"/>
        <v>2.5688640930037959E-2</v>
      </c>
      <c r="BN43">
        <f t="shared" si="15"/>
        <v>1.5334957244312256E-2</v>
      </c>
      <c r="BP43">
        <v>1.490143362417665</v>
      </c>
      <c r="BQ43" s="4">
        <v>76.089999999999961</v>
      </c>
      <c r="BR43">
        <v>11.71</v>
      </c>
      <c r="BT43" s="1">
        <v>2.5319000000000001E-7</v>
      </c>
      <c r="BV43" s="11">
        <f t="shared" si="23"/>
        <v>1.3067995103652741</v>
      </c>
      <c r="CA43" s="19" t="s">
        <v>450</v>
      </c>
      <c r="CB43" s="20"/>
      <c r="CC43" s="21"/>
    </row>
    <row r="44" spans="1:81" x14ac:dyDescent="0.25">
      <c r="A44" t="s">
        <v>44</v>
      </c>
      <c r="B44" t="s">
        <v>5</v>
      </c>
      <c r="C44" s="1">
        <v>3.1300000000000002E-4</v>
      </c>
      <c r="D44">
        <v>2.1906521859939338E-9</v>
      </c>
      <c r="F44" t="s">
        <v>44</v>
      </c>
      <c r="G44" t="s">
        <v>6</v>
      </c>
      <c r="H44" s="1">
        <v>3.4699999999999998E-4</v>
      </c>
      <c r="I44">
        <v>2.42852650798792E-9</v>
      </c>
      <c r="K44" t="s">
        <v>44</v>
      </c>
      <c r="L44" t="s">
        <v>7</v>
      </c>
      <c r="M44" s="1">
        <v>3.59E-4</v>
      </c>
      <c r="N44">
        <v>2.5167306172890257E-9</v>
      </c>
      <c r="P44" t="s">
        <v>44</v>
      </c>
      <c r="Q44" t="s">
        <v>446</v>
      </c>
      <c r="R44">
        <v>3.4474136682446452E-9</v>
      </c>
      <c r="T44">
        <f t="shared" si="16"/>
        <v>-2.3787432199398622E-10</v>
      </c>
      <c r="V44" s="1">
        <f t="shared" si="17"/>
        <v>-3.2607843129509188E-10</v>
      </c>
      <c r="X44">
        <f t="shared" si="7"/>
        <v>-1.2567614822507114E-9</v>
      </c>
      <c r="AA44" t="s">
        <v>261</v>
      </c>
      <c r="AB44" t="s">
        <v>224</v>
      </c>
      <c r="AC44">
        <v>350</v>
      </c>
      <c r="AD44" s="1">
        <v>1.04671951115734E-4</v>
      </c>
      <c r="AE44" s="1">
        <v>-5.28998809990074E-7</v>
      </c>
      <c r="AF44" s="1">
        <v>1.8303906501066099E-6</v>
      </c>
      <c r="AG44">
        <f t="shared" si="18"/>
        <v>1.0468929037894744E-4</v>
      </c>
      <c r="AI44" t="s">
        <v>261</v>
      </c>
      <c r="AJ44" t="s">
        <v>224</v>
      </c>
      <c r="AK44">
        <v>550</v>
      </c>
      <c r="AL44" s="1">
        <v>3.6646957801994802E-5</v>
      </c>
      <c r="AM44" s="1">
        <v>-4.37177069980149E-7</v>
      </c>
      <c r="AN44" s="1">
        <v>-3.44146499889716E-8</v>
      </c>
      <c r="AO44">
        <f t="shared" si="19"/>
        <v>3.6649581502383329E-5</v>
      </c>
      <c r="AQ44" t="s">
        <v>261</v>
      </c>
      <c r="AR44" t="s">
        <v>224</v>
      </c>
      <c r="AS44">
        <v>600</v>
      </c>
      <c r="AT44" s="1">
        <v>3.0857551502570099E-5</v>
      </c>
      <c r="AU44" s="1">
        <v>9.3918690009925502E-8</v>
      </c>
      <c r="AV44" s="1">
        <v>-4.9130304997426704E-7</v>
      </c>
      <c r="AW44">
        <f t="shared" si="24"/>
        <v>3.086160533966134E-5</v>
      </c>
      <c r="AY44" t="s">
        <v>261</v>
      </c>
      <c r="AZ44" t="s">
        <v>224</v>
      </c>
      <c r="BA44">
        <v>800</v>
      </c>
      <c r="BB44">
        <v>1.286525423270496E-5</v>
      </c>
      <c r="BD44">
        <f t="shared" si="21"/>
        <v>6.8039708876564101E-5</v>
      </c>
      <c r="BF44">
        <f t="shared" si="22"/>
        <v>7.382768503928609E-5</v>
      </c>
      <c r="BH44">
        <f t="shared" si="12"/>
        <v>9.1824036146242473E-5</v>
      </c>
      <c r="BJ44">
        <f t="shared" si="13"/>
        <v>-3.4961102262434977E-3</v>
      </c>
      <c r="BL44" s="1">
        <f t="shared" si="14"/>
        <v>-4.4167500460237244E-3</v>
      </c>
      <c r="BN44">
        <f t="shared" si="15"/>
        <v>-1.3686628632280387E-2</v>
      </c>
      <c r="BP44">
        <v>1.198041857965974</v>
      </c>
      <c r="BQ44" s="3">
        <v>76.11</v>
      </c>
      <c r="BR44">
        <v>9.42</v>
      </c>
      <c r="BT44" s="1">
        <v>2.2376000000000001E-7</v>
      </c>
      <c r="BV44" s="11">
        <f t="shared" si="23"/>
        <v>1.0392979559128857</v>
      </c>
    </row>
    <row r="45" spans="1:81" x14ac:dyDescent="0.25">
      <c r="A45" t="s">
        <v>45</v>
      </c>
      <c r="B45" t="s">
        <v>5</v>
      </c>
      <c r="C45" s="1">
        <v>7.9299999999999998E-4</v>
      </c>
      <c r="D45">
        <v>4.7548817019984838E-9</v>
      </c>
      <c r="F45" t="s">
        <v>45</v>
      </c>
      <c r="G45" t="s">
        <v>6</v>
      </c>
      <c r="H45" s="1">
        <v>5.22E-4</v>
      </c>
      <c r="I45">
        <v>3.1298722018638397E-9</v>
      </c>
      <c r="K45" t="s">
        <v>45</v>
      </c>
      <c r="L45" t="s">
        <v>7</v>
      </c>
      <c r="M45" s="1">
        <v>4.0999999999999999E-4</v>
      </c>
      <c r="N45">
        <v>2.4553818440315958E-9</v>
      </c>
      <c r="P45" t="s">
        <v>45</v>
      </c>
      <c r="Q45" t="s">
        <v>446</v>
      </c>
      <c r="R45">
        <v>3.2062750973676606E-9</v>
      </c>
      <c r="T45">
        <f t="shared" si="16"/>
        <v>1.6250095001346441E-9</v>
      </c>
      <c r="V45" s="1">
        <f t="shared" si="17"/>
        <v>2.299499857966888E-9</v>
      </c>
      <c r="X45">
        <f t="shared" si="7"/>
        <v>1.5486066046308233E-9</v>
      </c>
      <c r="AA45" t="s">
        <v>262</v>
      </c>
      <c r="AB45" t="s">
        <v>224</v>
      </c>
      <c r="AC45">
        <v>350</v>
      </c>
      <c r="AD45" s="1">
        <v>9.7209026601265296E-5</v>
      </c>
      <c r="AE45" s="1">
        <v>-3.2802218799867699E-6</v>
      </c>
      <c r="AF45" s="1">
        <v>2.1499905000220601E-6</v>
      </c>
      <c r="AG45">
        <f t="shared" si="18"/>
        <v>9.7288114214931886E-5</v>
      </c>
      <c r="AI45" t="s">
        <v>262</v>
      </c>
      <c r="AJ45" t="s">
        <v>224</v>
      </c>
      <c r="AK45">
        <v>550</v>
      </c>
      <c r="AL45" s="1">
        <v>3.4438405515547897E-5</v>
      </c>
      <c r="AM45" s="1">
        <v>-3.5921740300033099E-6</v>
      </c>
      <c r="AN45" s="1">
        <v>-8.5974949893392597E-8</v>
      </c>
      <c r="AO45">
        <f t="shared" si="19"/>
        <v>3.4625350256815584E-5</v>
      </c>
      <c r="AQ45" t="s">
        <v>262</v>
      </c>
      <c r="AR45" t="s">
        <v>224</v>
      </c>
      <c r="AS45">
        <v>600</v>
      </c>
      <c r="AT45" s="1">
        <v>2.93532823414791E-5</v>
      </c>
      <c r="AU45" s="1">
        <v>-2.48722940000827E-6</v>
      </c>
      <c r="AV45" s="1">
        <v>6.0318150010201201E-7</v>
      </c>
      <c r="AW45">
        <f t="shared" si="24"/>
        <v>2.946464529277282E-5</v>
      </c>
      <c r="AY45" t="s">
        <v>262</v>
      </c>
      <c r="AZ45" t="s">
        <v>224</v>
      </c>
      <c r="BA45">
        <v>800</v>
      </c>
      <c r="BB45">
        <v>1.1744396193986376E-5</v>
      </c>
      <c r="BD45">
        <f t="shared" si="21"/>
        <v>6.2662763958116309E-5</v>
      </c>
      <c r="BF45">
        <f t="shared" si="22"/>
        <v>6.7823468922159069E-5</v>
      </c>
      <c r="BH45">
        <f t="shared" si="12"/>
        <v>8.5543718020945507E-5</v>
      </c>
      <c r="BJ45">
        <f t="shared" si="13"/>
        <v>2.5932617674202785E-2</v>
      </c>
      <c r="BL45" s="1">
        <f t="shared" si="14"/>
        <v>3.3904191196796815E-2</v>
      </c>
      <c r="BN45">
        <f t="shared" si="15"/>
        <v>1.8103101436994409E-2</v>
      </c>
      <c r="BP45">
        <v>2.4676551516076777</v>
      </c>
      <c r="BQ45" s="6">
        <v>76.13</v>
      </c>
      <c r="BR45">
        <v>8.6300000000000008</v>
      </c>
      <c r="BT45" s="1">
        <v>2.2415999999999999E-7</v>
      </c>
      <c r="BV45" s="11">
        <f t="shared" si="23"/>
        <v>2.4579373148868608</v>
      </c>
      <c r="CA45" t="s">
        <v>458</v>
      </c>
    </row>
    <row r="46" spans="1:81" x14ac:dyDescent="0.25">
      <c r="A46" t="s">
        <v>46</v>
      </c>
      <c r="B46" t="s">
        <v>5</v>
      </c>
      <c r="C46" s="1">
        <v>5.3700000000000004E-4</v>
      </c>
      <c r="D46">
        <v>3.7596696663403822E-9</v>
      </c>
      <c r="F46" t="s">
        <v>46</v>
      </c>
      <c r="G46" t="s">
        <v>6</v>
      </c>
      <c r="H46" s="1">
        <v>3.3300000000000002E-4</v>
      </c>
      <c r="I46">
        <v>2.327017834052846E-9</v>
      </c>
      <c r="K46" t="s">
        <v>46</v>
      </c>
      <c r="L46" t="s">
        <v>7</v>
      </c>
      <c r="M46" s="1">
        <v>4.4299999999999998E-4</v>
      </c>
      <c r="N46">
        <v>3.0965750434956362E-9</v>
      </c>
      <c r="P46" t="s">
        <v>46</v>
      </c>
      <c r="Q46" t="s">
        <v>446</v>
      </c>
      <c r="R46">
        <v>3.2872827684882848E-9</v>
      </c>
      <c r="T46">
        <f t="shared" si="16"/>
        <v>1.4326518322875362E-9</v>
      </c>
      <c r="V46" s="1">
        <f t="shared" si="17"/>
        <v>6.6309462284474603E-10</v>
      </c>
      <c r="X46">
        <f t="shared" si="7"/>
        <v>4.7238689785209743E-10</v>
      </c>
      <c r="AA46" t="s">
        <v>263</v>
      </c>
      <c r="AB46" t="s">
        <v>224</v>
      </c>
      <c r="AC46">
        <v>350</v>
      </c>
      <c r="AD46" s="1">
        <v>1.1015735477476901E-4</v>
      </c>
      <c r="AE46" s="1">
        <v>-1.64526696997188E-6</v>
      </c>
      <c r="AF46" s="1">
        <v>1.57283585002665E-6</v>
      </c>
      <c r="AG46">
        <f t="shared" si="18"/>
        <v>1.10180867336339E-4</v>
      </c>
      <c r="AI46" t="s">
        <v>263</v>
      </c>
      <c r="AJ46" t="s">
        <v>224</v>
      </c>
      <c r="AK46">
        <v>550</v>
      </c>
      <c r="AL46" s="1">
        <v>4.1540277149134099E-5</v>
      </c>
      <c r="AM46" s="1">
        <v>-3.0470657099900702E-6</v>
      </c>
      <c r="AN46" s="1">
        <v>1.3633875500624899E-6</v>
      </c>
      <c r="AO46">
        <f t="shared" si="19"/>
        <v>4.1674189382392731E-5</v>
      </c>
      <c r="AQ46" t="s">
        <v>263</v>
      </c>
      <c r="AR46" t="s">
        <v>224</v>
      </c>
      <c r="AS46">
        <v>600</v>
      </c>
      <c r="AT46" s="1">
        <v>3.26933312438139E-5</v>
      </c>
      <c r="AU46" s="1">
        <v>-2.1297364300198501E-6</v>
      </c>
      <c r="AV46" s="1">
        <v>1.4393711500790399E-6</v>
      </c>
      <c r="AW46">
        <f t="shared" si="24"/>
        <v>3.2794229284841742E-5</v>
      </c>
      <c r="AY46" t="s">
        <v>263</v>
      </c>
      <c r="AZ46" t="s">
        <v>224</v>
      </c>
      <c r="BA46">
        <v>800</v>
      </c>
      <c r="BB46">
        <v>1.516354624634003E-5</v>
      </c>
      <c r="BD46">
        <f t="shared" si="21"/>
        <v>6.8506677953946262E-5</v>
      </c>
      <c r="BF46">
        <f t="shared" si="22"/>
        <v>7.7386638051497251E-5</v>
      </c>
      <c r="BH46">
        <f t="shared" si="12"/>
        <v>9.5017321089998965E-5</v>
      </c>
      <c r="BJ46">
        <f t="shared" si="13"/>
        <v>2.0912586554709876E-2</v>
      </c>
      <c r="BL46" s="1">
        <f t="shared" si="14"/>
        <v>8.5685932292792841E-3</v>
      </c>
      <c r="BN46">
        <f t="shared" si="15"/>
        <v>4.9715872057123113E-3</v>
      </c>
      <c r="BP46">
        <v>2.5804390161617174</v>
      </c>
      <c r="BQ46" s="4">
        <v>76.149999999999991</v>
      </c>
      <c r="BR46">
        <v>8.5399999999999991</v>
      </c>
      <c r="BT46" s="1">
        <v>2.4654999999999999E-7</v>
      </c>
      <c r="BV46" s="11">
        <f t="shared" si="23"/>
        <v>1.7856108281832059</v>
      </c>
      <c r="CA46">
        <f>CORREL(BP2:BP219,BL2:BL219)</f>
        <v>0.90226468901518686</v>
      </c>
    </row>
    <row r="47" spans="1:81" x14ac:dyDescent="0.25">
      <c r="A47" t="s">
        <v>47</v>
      </c>
      <c r="B47" t="s">
        <v>5</v>
      </c>
      <c r="C47" s="1">
        <v>7.4399999999999998E-4</v>
      </c>
      <c r="D47">
        <v>4.4678519447269071E-9</v>
      </c>
      <c r="F47" t="s">
        <v>47</v>
      </c>
      <c r="G47" t="s">
        <v>6</v>
      </c>
      <c r="H47" s="1">
        <v>4.0400000000000001E-4</v>
      </c>
      <c r="I47">
        <v>2.4276902603091689E-9</v>
      </c>
      <c r="K47" t="s">
        <v>47</v>
      </c>
      <c r="L47" t="s">
        <v>7</v>
      </c>
      <c r="M47" s="1">
        <v>4.8299999999999998E-4</v>
      </c>
      <c r="N47">
        <v>2.8934493256319523E-9</v>
      </c>
      <c r="P47" t="s">
        <v>47</v>
      </c>
      <c r="Q47" t="s">
        <v>446</v>
      </c>
      <c r="R47">
        <v>1.1100283780156255E-9</v>
      </c>
      <c r="T47">
        <f t="shared" si="16"/>
        <v>2.0401616844177381E-9</v>
      </c>
      <c r="V47" s="1">
        <f t="shared" si="17"/>
        <v>1.5744026190949548E-9</v>
      </c>
      <c r="X47">
        <f t="shared" si="7"/>
        <v>3.3578235667112815E-9</v>
      </c>
      <c r="AA47" t="s">
        <v>264</v>
      </c>
      <c r="AB47" t="s">
        <v>224</v>
      </c>
      <c r="AC47">
        <v>350</v>
      </c>
      <c r="AD47" s="1">
        <v>9.1569764165330504E-5</v>
      </c>
      <c r="AE47" s="1">
        <v>-1.42229951000662E-6</v>
      </c>
      <c r="AF47" s="1">
        <v>4.0668495016358699E-7</v>
      </c>
      <c r="AG47">
        <f t="shared" si="18"/>
        <v>9.1581712354809691E-5</v>
      </c>
      <c r="AI47" t="s">
        <v>264</v>
      </c>
      <c r="AJ47" t="s">
        <v>224</v>
      </c>
      <c r="AK47">
        <v>550</v>
      </c>
      <c r="AL47" s="1">
        <v>3.2765241101401697E-5</v>
      </c>
      <c r="AM47" s="1">
        <v>-5.41235130003309E-7</v>
      </c>
      <c r="AN47" s="1">
        <v>-4.3493209994485798E-7</v>
      </c>
      <c r="AO47">
        <f t="shared" si="19"/>
        <v>3.2772597178595647E-5</v>
      </c>
      <c r="AQ47" t="s">
        <v>264</v>
      </c>
      <c r="AR47" t="s">
        <v>224</v>
      </c>
      <c r="AS47">
        <v>600</v>
      </c>
      <c r="AT47" s="1">
        <v>2.5902803626884101E-5</v>
      </c>
      <c r="AU47" s="1">
        <v>-8.1692238001158004E-7</v>
      </c>
      <c r="AV47" s="1">
        <v>4.4615695007627899E-7</v>
      </c>
      <c r="AW47">
        <f t="shared" si="24"/>
        <v>2.5919522640897252E-5</v>
      </c>
      <c r="AY47" t="s">
        <v>264</v>
      </c>
      <c r="AZ47" t="s">
        <v>224</v>
      </c>
      <c r="BA47">
        <v>800</v>
      </c>
      <c r="BB47">
        <v>9.7756938740177477E-6</v>
      </c>
      <c r="BD47">
        <f t="shared" si="21"/>
        <v>5.8809115176214044E-5</v>
      </c>
      <c r="BF47">
        <f t="shared" si="22"/>
        <v>6.5662189713912436E-5</v>
      </c>
      <c r="BH47">
        <f t="shared" si="12"/>
        <v>8.1806018480791939E-5</v>
      </c>
      <c r="BJ47">
        <f t="shared" si="13"/>
        <v>3.4691249448400185E-2</v>
      </c>
      <c r="BL47" s="1">
        <f t="shared" si="14"/>
        <v>2.3977309102157035E-2</v>
      </c>
      <c r="BN47">
        <f t="shared" si="15"/>
        <v>4.1046167862327863E-2</v>
      </c>
      <c r="BP47">
        <v>2.0563233597238266</v>
      </c>
      <c r="BQ47" s="4">
        <v>76.169999999999987</v>
      </c>
      <c r="BR47">
        <v>10.36</v>
      </c>
      <c r="BT47" s="1">
        <v>1.8230000000000001E-7</v>
      </c>
      <c r="BV47" s="11">
        <f t="shared" si="23"/>
        <v>2.3656601219122595</v>
      </c>
    </row>
    <row r="48" spans="1:81" x14ac:dyDescent="0.25">
      <c r="A48" t="s">
        <v>48</v>
      </c>
      <c r="B48" t="s">
        <v>5</v>
      </c>
      <c r="C48" s="1">
        <v>3.57E-4</v>
      </c>
      <c r="D48">
        <v>2.1400878580095724E-9</v>
      </c>
      <c r="F48" t="s">
        <v>48</v>
      </c>
      <c r="G48" t="s">
        <v>6</v>
      </c>
      <c r="H48" s="1">
        <v>5.0000000000000001E-4</v>
      </c>
      <c r="I48">
        <v>3.0012372448708551E-9</v>
      </c>
      <c r="K48" t="s">
        <v>48</v>
      </c>
      <c r="L48" t="s">
        <v>7</v>
      </c>
      <c r="M48" s="1">
        <v>5.2400000000000005E-4</v>
      </c>
      <c r="N48">
        <v>3.1407261899121352E-9</v>
      </c>
      <c r="P48" t="s">
        <v>48</v>
      </c>
      <c r="Q48" t="s">
        <v>446</v>
      </c>
      <c r="R48">
        <v>3.5925296101772076E-9</v>
      </c>
      <c r="T48">
        <f t="shared" si="16"/>
        <v>-8.6114938686128265E-10</v>
      </c>
      <c r="V48" s="1">
        <f t="shared" si="17"/>
        <v>-1.0006383319025627E-9</v>
      </c>
      <c r="X48">
        <f t="shared" si="7"/>
        <v>-1.4524417521676352E-9</v>
      </c>
      <c r="AA48" t="s">
        <v>265</v>
      </c>
      <c r="AB48" t="s">
        <v>224</v>
      </c>
      <c r="AC48">
        <v>350</v>
      </c>
      <c r="AD48" s="1">
        <v>9.0755537685510503E-5</v>
      </c>
      <c r="AE48" s="1">
        <v>8.4410872000496305E-7</v>
      </c>
      <c r="AF48" s="1">
        <v>9.3412955019023896E-7</v>
      </c>
      <c r="AG48">
        <f t="shared" si="18"/>
        <v>9.0764270162514092E-5</v>
      </c>
      <c r="AI48" t="s">
        <v>265</v>
      </c>
      <c r="AJ48" t="s">
        <v>224</v>
      </c>
      <c r="AK48">
        <v>550</v>
      </c>
      <c r="AL48" s="1">
        <v>3.1451360553434799E-5</v>
      </c>
      <c r="AM48" s="1">
        <v>1.6358677002150501E-7</v>
      </c>
      <c r="AN48" s="1">
        <v>-1.8466728498520401E-6</v>
      </c>
      <c r="AO48">
        <f t="shared" si="19"/>
        <v>3.1505952483742835E-5</v>
      </c>
      <c r="AQ48" t="s">
        <v>265</v>
      </c>
      <c r="AR48" t="s">
        <v>224</v>
      </c>
      <c r="AS48">
        <v>600</v>
      </c>
      <c r="AT48" s="1">
        <v>2.2318986506942002E-5</v>
      </c>
      <c r="AU48" s="1">
        <v>-1.1518176300033099E-6</v>
      </c>
      <c r="AV48" s="1">
        <v>-1.3260124998308999E-6</v>
      </c>
      <c r="AW48">
        <f t="shared" si="24"/>
        <v>2.238799123859828E-5</v>
      </c>
      <c r="AY48" t="s">
        <v>265</v>
      </c>
      <c r="AZ48" t="s">
        <v>224</v>
      </c>
      <c r="BA48">
        <v>800</v>
      </c>
      <c r="BB48">
        <v>1.0609208575186422E-5</v>
      </c>
      <c r="BD48">
        <f t="shared" si="21"/>
        <v>5.9258317678771256E-5</v>
      </c>
      <c r="BF48">
        <f t="shared" si="22"/>
        <v>6.8376278923915808E-5</v>
      </c>
      <c r="BH48">
        <f t="shared" si="12"/>
        <v>8.0155061587327666E-5</v>
      </c>
      <c r="BJ48">
        <f t="shared" si="13"/>
        <v>-1.4532126806728121E-2</v>
      </c>
      <c r="BL48" s="1">
        <f t="shared" si="14"/>
        <v>-1.4634290541256288E-2</v>
      </c>
      <c r="BN48">
        <f t="shared" si="15"/>
        <v>-1.8120399677882138E-2</v>
      </c>
      <c r="BP48">
        <v>1.6930321217954634</v>
      </c>
      <c r="BQ48" s="4">
        <v>76.189999999999984</v>
      </c>
      <c r="BR48">
        <v>7.89</v>
      </c>
      <c r="BT48" s="1">
        <v>2.4125000000000002E-7</v>
      </c>
      <c r="BV48" s="11">
        <f t="shared" si="23"/>
        <v>1.1243131178100818</v>
      </c>
    </row>
    <row r="49" spans="1:74" x14ac:dyDescent="0.25">
      <c r="A49" t="s">
        <v>49</v>
      </c>
      <c r="B49" t="s">
        <v>5</v>
      </c>
      <c r="C49" s="1">
        <v>7.0799999999999997E-4</v>
      </c>
      <c r="D49">
        <v>4.9554923065221274E-9</v>
      </c>
      <c r="F49" t="s">
        <v>49</v>
      </c>
      <c r="G49" t="s">
        <v>6</v>
      </c>
      <c r="H49" s="1">
        <v>4.4499999999999997E-4</v>
      </c>
      <c r="I49">
        <v>3.1138719450227876E-9</v>
      </c>
      <c r="K49" t="s">
        <v>49</v>
      </c>
      <c r="L49" t="s">
        <v>7</v>
      </c>
      <c r="M49" s="1">
        <v>4.73E-4</v>
      </c>
      <c r="N49">
        <v>3.3068716334324197E-9</v>
      </c>
      <c r="P49" t="s">
        <v>49</v>
      </c>
      <c r="Q49" t="s">
        <v>446</v>
      </c>
      <c r="R49">
        <v>4.1090024336814402E-9</v>
      </c>
      <c r="T49">
        <f t="shared" si="16"/>
        <v>1.8416203614993398E-9</v>
      </c>
      <c r="V49" s="1">
        <f t="shared" si="17"/>
        <v>1.6486206730897077E-9</v>
      </c>
      <c r="X49">
        <f t="shared" si="7"/>
        <v>8.464898728406872E-10</v>
      </c>
      <c r="AA49" t="s">
        <v>266</v>
      </c>
      <c r="AB49" t="s">
        <v>224</v>
      </c>
      <c r="AC49">
        <v>350</v>
      </c>
      <c r="AD49" s="1">
        <v>1.20815004841345E-4</v>
      </c>
      <c r="AE49" s="1">
        <v>3.7123416005624402E-7</v>
      </c>
      <c r="AF49" s="1">
        <v>-9.6237670011947406E-7</v>
      </c>
      <c r="AG49">
        <f t="shared" si="18"/>
        <v>1.2081940812025501E-4</v>
      </c>
      <c r="AI49" t="s">
        <v>266</v>
      </c>
      <c r="AJ49" t="s">
        <v>224</v>
      </c>
      <c r="AK49">
        <v>550</v>
      </c>
      <c r="AL49" s="1">
        <v>4.4430203997323103E-5</v>
      </c>
      <c r="AM49" s="1">
        <v>-6.8042326983126596E-7</v>
      </c>
      <c r="AN49" s="1">
        <v>-2.2237538004962799E-6</v>
      </c>
      <c r="AO49">
        <f t="shared" si="19"/>
        <v>4.4491022510559312E-5</v>
      </c>
      <c r="AQ49" t="s">
        <v>266</v>
      </c>
      <c r="AR49" t="s">
        <v>224</v>
      </c>
      <c r="AS49">
        <v>600</v>
      </c>
      <c r="AT49" s="1">
        <v>3.6909035152279499E-5</v>
      </c>
      <c r="AU49" s="1">
        <v>-2.9041523994375502E-7</v>
      </c>
      <c r="AV49" s="1">
        <v>-3.0568597007811802E-6</v>
      </c>
      <c r="AW49">
        <f t="shared" si="24"/>
        <v>3.7036544224779604E-5</v>
      </c>
      <c r="AY49" t="s">
        <v>266</v>
      </c>
      <c r="AZ49" t="s">
        <v>224</v>
      </c>
      <c r="BA49">
        <v>800</v>
      </c>
      <c r="BB49">
        <v>1.5131789294560755E-5</v>
      </c>
      <c r="BD49">
        <f t="shared" si="21"/>
        <v>7.6328385609695696E-5</v>
      </c>
      <c r="BF49">
        <f t="shared" si="22"/>
        <v>8.3782863895475411E-5</v>
      </c>
      <c r="BH49">
        <f t="shared" si="12"/>
        <v>1.0568761882569425E-4</v>
      </c>
      <c r="BJ49">
        <f t="shared" si="13"/>
        <v>2.4127594823195188E-2</v>
      </c>
      <c r="BL49" s="1">
        <f t="shared" si="14"/>
        <v>1.9677301496239967E-2</v>
      </c>
      <c r="BN49">
        <f t="shared" si="15"/>
        <v>8.0093570301433704E-3</v>
      </c>
      <c r="BP49">
        <v>1.8517448966285484</v>
      </c>
      <c r="BQ49" s="4">
        <v>76.20999999999998</v>
      </c>
      <c r="BR49">
        <v>11.37</v>
      </c>
      <c r="BT49" s="1">
        <v>2.1037E-7</v>
      </c>
      <c r="BV49" s="11">
        <f t="shared" si="23"/>
        <v>2.0717747444610524</v>
      </c>
    </row>
    <row r="50" spans="1:74" x14ac:dyDescent="0.25">
      <c r="A50" t="s">
        <v>50</v>
      </c>
      <c r="B50" t="s">
        <v>5</v>
      </c>
      <c r="C50" s="1">
        <v>1.5399999999999999E-3</v>
      </c>
      <c r="D50">
        <v>9.241440147509477E-9</v>
      </c>
      <c r="F50" t="s">
        <v>50</v>
      </c>
      <c r="G50" t="s">
        <v>6</v>
      </c>
      <c r="H50" s="1">
        <v>8.9400000000000005E-4</v>
      </c>
      <c r="I50">
        <v>5.3643732159498371E-9</v>
      </c>
      <c r="K50" t="s">
        <v>50</v>
      </c>
      <c r="L50" t="s">
        <v>7</v>
      </c>
      <c r="M50" s="1">
        <v>9.2599999999999996E-4</v>
      </c>
      <c r="N50">
        <v>5.5556339872241402E-9</v>
      </c>
      <c r="P50" t="s">
        <v>50</v>
      </c>
      <c r="Q50" t="s">
        <v>446</v>
      </c>
      <c r="R50">
        <v>6.0002886597229631E-9</v>
      </c>
      <c r="T50">
        <f t="shared" si="16"/>
        <v>3.8770669315596398E-9</v>
      </c>
      <c r="V50" s="1">
        <f t="shared" si="17"/>
        <v>3.6858061602853367E-9</v>
      </c>
      <c r="X50">
        <f t="shared" si="7"/>
        <v>3.2411514877865138E-9</v>
      </c>
      <c r="AA50" t="s">
        <v>267</v>
      </c>
      <c r="AB50" t="s">
        <v>224</v>
      </c>
      <c r="AC50">
        <v>350</v>
      </c>
      <c r="AD50" s="1">
        <v>1.3288179610205801E-4</v>
      </c>
      <c r="AE50" s="1">
        <v>-2.17998922000496E-6</v>
      </c>
      <c r="AF50" s="1">
        <v>1.74441569919585E-6</v>
      </c>
      <c r="AG50">
        <f t="shared" si="18"/>
        <v>1.3291112472039296E-4</v>
      </c>
      <c r="AI50" t="s">
        <v>267</v>
      </c>
      <c r="AJ50" t="s">
        <v>224</v>
      </c>
      <c r="AK50">
        <v>550</v>
      </c>
      <c r="AL50" s="1">
        <v>4.9495647043305802E-5</v>
      </c>
      <c r="AM50" s="1">
        <v>-2.6314502200132302E-6</v>
      </c>
      <c r="AN50" s="1">
        <v>-5.0080100286736602E-8</v>
      </c>
      <c r="AO50">
        <f t="shared" si="19"/>
        <v>4.9565573884626402E-5</v>
      </c>
      <c r="AQ50" t="s">
        <v>267</v>
      </c>
      <c r="AR50" t="s">
        <v>224</v>
      </c>
      <c r="AS50">
        <v>600</v>
      </c>
      <c r="AT50" s="1">
        <v>4.2590532443284101E-5</v>
      </c>
      <c r="AU50" s="1">
        <v>-2.40668184991729E-6</v>
      </c>
      <c r="AV50" s="1">
        <v>4.4665034974634798E-7</v>
      </c>
      <c r="AW50">
        <f t="shared" si="24"/>
        <v>4.2660814195981836E-5</v>
      </c>
      <c r="AY50" t="s">
        <v>267</v>
      </c>
      <c r="AZ50" t="s">
        <v>224</v>
      </c>
      <c r="BA50">
        <v>800</v>
      </c>
      <c r="BB50">
        <v>1.5262893608366517E-5</v>
      </c>
      <c r="BD50">
        <f t="shared" si="21"/>
        <v>8.3345550835766562E-5</v>
      </c>
      <c r="BF50">
        <f t="shared" si="22"/>
        <v>9.0250310524411128E-5</v>
      </c>
      <c r="BH50">
        <f t="shared" si="12"/>
        <v>1.1764823111202644E-4</v>
      </c>
      <c r="BJ50">
        <f t="shared" si="13"/>
        <v>4.6517983175843998E-2</v>
      </c>
      <c r="BL50" s="1">
        <f t="shared" si="14"/>
        <v>4.0839816936567665E-2</v>
      </c>
      <c r="BN50">
        <f t="shared" si="15"/>
        <v>2.7549513130377967E-2</v>
      </c>
      <c r="BP50">
        <v>4.0552706563396184</v>
      </c>
      <c r="BQ50" s="3">
        <v>76.240000000000009</v>
      </c>
      <c r="BR50">
        <v>10.5</v>
      </c>
      <c r="BT50" s="1">
        <v>2.4936E-7</v>
      </c>
      <c r="BV50" s="11">
        <f t="shared" si="23"/>
        <v>3.5295843635934574</v>
      </c>
    </row>
    <row r="51" spans="1:74" x14ac:dyDescent="0.25">
      <c r="A51" t="s">
        <v>51</v>
      </c>
      <c r="B51" t="s">
        <v>5</v>
      </c>
      <c r="C51" s="1">
        <v>9.6000000000000002E-4</v>
      </c>
      <c r="D51">
        <v>5.7628833061237679E-9</v>
      </c>
      <c r="F51" t="s">
        <v>51</v>
      </c>
      <c r="G51" t="s">
        <v>6</v>
      </c>
      <c r="H51" s="1">
        <v>6.6500000000000001E-4</v>
      </c>
      <c r="I51">
        <v>3.9935959985957512E-9</v>
      </c>
      <c r="K51" t="s">
        <v>51</v>
      </c>
      <c r="L51" t="s">
        <v>7</v>
      </c>
      <c r="M51" s="1">
        <v>6.2699999999999995E-4</v>
      </c>
      <c r="N51">
        <v>3.7561283258163584E-9</v>
      </c>
      <c r="P51" t="s">
        <v>51</v>
      </c>
      <c r="Q51" t="s">
        <v>446</v>
      </c>
      <c r="R51">
        <v>2.4155382422971489E-9</v>
      </c>
      <c r="T51">
        <f t="shared" si="16"/>
        <v>1.7692873075280167E-9</v>
      </c>
      <c r="V51" s="1">
        <f t="shared" si="17"/>
        <v>2.0067549803074095E-9</v>
      </c>
      <c r="X51">
        <f t="shared" si="7"/>
        <v>3.3473450638266189E-9</v>
      </c>
      <c r="AA51" t="s">
        <v>268</v>
      </c>
      <c r="AB51" t="s">
        <v>224</v>
      </c>
      <c r="AC51">
        <v>350</v>
      </c>
      <c r="AD51" s="1">
        <v>1.14234147932952E-4</v>
      </c>
      <c r="AE51" s="1">
        <v>-3.5551936963275599E-7</v>
      </c>
      <c r="AF51" s="1">
        <v>6.9113005035658297E-7</v>
      </c>
      <c r="AG51">
        <f t="shared" si="18"/>
        <v>1.1423679183492616E-4</v>
      </c>
      <c r="AI51" t="s">
        <v>268</v>
      </c>
      <c r="AJ51" t="s">
        <v>224</v>
      </c>
      <c r="AK51">
        <v>550</v>
      </c>
      <c r="AL51" s="1">
        <v>4.3221932764506E-5</v>
      </c>
      <c r="AM51" s="1">
        <v>1.5880079005955301E-7</v>
      </c>
      <c r="AN51" s="1">
        <v>1.72319949961401E-7</v>
      </c>
      <c r="AO51">
        <f t="shared" si="19"/>
        <v>4.3222567991219075E-5</v>
      </c>
      <c r="AQ51" t="s">
        <v>268</v>
      </c>
      <c r="AR51" t="s">
        <v>224</v>
      </c>
      <c r="AS51">
        <v>600</v>
      </c>
      <c r="AT51" s="1">
        <v>3.54875994133712E-5</v>
      </c>
      <c r="AU51" s="1">
        <v>-2.6922370989908998E-7</v>
      </c>
      <c r="AV51" s="1">
        <v>-1.3374840499715099E-6</v>
      </c>
      <c r="AW51">
        <f t="shared" si="24"/>
        <v>3.5513815017733651E-5</v>
      </c>
      <c r="AY51" t="s">
        <v>268</v>
      </c>
      <c r="AZ51" t="s">
        <v>224</v>
      </c>
      <c r="BA51">
        <v>800</v>
      </c>
      <c r="BB51">
        <v>1.6176739682307774E-5</v>
      </c>
      <c r="BD51">
        <f t="shared" si="21"/>
        <v>7.1014223843707074E-5</v>
      </c>
      <c r="BF51">
        <f t="shared" si="22"/>
        <v>7.8722976817192504E-5</v>
      </c>
      <c r="BH51">
        <f t="shared" si="12"/>
        <v>9.8060052152618385E-5</v>
      </c>
      <c r="BJ51">
        <f t="shared" si="13"/>
        <v>2.4914548266020398E-2</v>
      </c>
      <c r="BL51" s="1">
        <f t="shared" si="14"/>
        <v>2.5491350320344459E-2</v>
      </c>
      <c r="BN51">
        <f t="shared" si="15"/>
        <v>3.4135664731412635E-2</v>
      </c>
      <c r="BP51">
        <v>2.9073316374067883</v>
      </c>
      <c r="BQ51" s="4">
        <v>76.260000000000005</v>
      </c>
      <c r="BR51">
        <v>9.3000000000000007</v>
      </c>
      <c r="BT51" s="1">
        <v>2.4642000000000001E-7</v>
      </c>
      <c r="BV51" s="11">
        <f t="shared" si="23"/>
        <v>2.5146695545256534</v>
      </c>
    </row>
    <row r="52" spans="1:74" x14ac:dyDescent="0.25">
      <c r="A52" t="s">
        <v>52</v>
      </c>
      <c r="B52" t="s">
        <v>5</v>
      </c>
      <c r="C52" s="1">
        <v>6.8499999999999995E-4</v>
      </c>
      <c r="D52">
        <v>4.1048995115593267E-9</v>
      </c>
      <c r="F52" t="s">
        <v>52</v>
      </c>
      <c r="G52" t="s">
        <v>6</v>
      </c>
      <c r="H52" s="1">
        <v>7.3300000000000004E-4</v>
      </c>
      <c r="I52">
        <v>4.4016928561634104E-9</v>
      </c>
      <c r="K52" t="s">
        <v>52</v>
      </c>
      <c r="L52" t="s">
        <v>7</v>
      </c>
      <c r="M52" s="1">
        <v>6.8900000000000005E-4</v>
      </c>
      <c r="N52">
        <v>4.1374660119449915E-9</v>
      </c>
      <c r="P52" t="s">
        <v>52</v>
      </c>
      <c r="Q52" t="s">
        <v>446</v>
      </c>
      <c r="R52">
        <v>5.476385669399116E-9</v>
      </c>
      <c r="T52">
        <f t="shared" si="16"/>
        <v>-2.9679334460408373E-10</v>
      </c>
      <c r="V52" s="1">
        <f t="shared" si="17"/>
        <v>-3.2566500385664837E-11</v>
      </c>
      <c r="X52">
        <f t="shared" si="7"/>
        <v>-1.3714861578397893E-9</v>
      </c>
      <c r="AA52" t="s">
        <v>269</v>
      </c>
      <c r="AB52" t="s">
        <v>224</v>
      </c>
      <c r="AC52">
        <v>350</v>
      </c>
      <c r="AD52" s="1">
        <v>9.5953434606052299E-5</v>
      </c>
      <c r="AE52" s="1">
        <v>-2.03006963005294E-6</v>
      </c>
      <c r="AF52" s="1">
        <v>6.7423110035474501E-7</v>
      </c>
      <c r="AG52">
        <f t="shared" si="18"/>
        <v>9.5977275346706433E-5</v>
      </c>
      <c r="AI52" t="s">
        <v>269</v>
      </c>
      <c r="AJ52" t="s">
        <v>224</v>
      </c>
      <c r="AK52">
        <v>550</v>
      </c>
      <c r="AL52" s="1">
        <v>3.4737454956546601E-5</v>
      </c>
      <c r="AM52" s="1">
        <v>-2.46011706996361E-6</v>
      </c>
      <c r="AN52" s="1">
        <v>7.6600350035658302E-7</v>
      </c>
      <c r="AO52">
        <f t="shared" si="19"/>
        <v>3.4832882657319489E-5</v>
      </c>
      <c r="AQ52" t="s">
        <v>269</v>
      </c>
      <c r="AR52" t="s">
        <v>224</v>
      </c>
      <c r="AS52">
        <v>600</v>
      </c>
      <c r="AT52" s="1">
        <v>3.00542485870624E-5</v>
      </c>
      <c r="AU52" s="1">
        <v>-1.58272851978991E-6</v>
      </c>
      <c r="AV52" s="1">
        <v>-9.2635849993107296E-7</v>
      </c>
      <c r="AW52">
        <f t="shared" si="24"/>
        <v>3.0110148252220434E-5</v>
      </c>
      <c r="AY52" t="s">
        <v>269</v>
      </c>
      <c r="AZ52" t="s">
        <v>224</v>
      </c>
      <c r="BA52">
        <v>800</v>
      </c>
      <c r="BB52">
        <v>1.2303671113733571E-5</v>
      </c>
      <c r="BD52">
        <f t="shared" si="21"/>
        <v>6.1144392689386944E-5</v>
      </c>
      <c r="BF52">
        <f t="shared" si="22"/>
        <v>6.5867127094486002E-5</v>
      </c>
      <c r="BH52">
        <f t="shared" si="12"/>
        <v>8.3673604232972857E-5</v>
      </c>
      <c r="BJ52">
        <f t="shared" si="13"/>
        <v>-4.85397485443664E-3</v>
      </c>
      <c r="BL52" s="1">
        <f t="shared" si="14"/>
        <v>-4.9442721767640454E-4</v>
      </c>
      <c r="BN52">
        <f t="shared" si="15"/>
        <v>-1.6390905715273758E-2</v>
      </c>
      <c r="BP52">
        <v>2.8197936205446261</v>
      </c>
      <c r="BQ52" s="4">
        <v>76.28</v>
      </c>
      <c r="BR52">
        <v>7.77</v>
      </c>
      <c r="BT52" s="1">
        <v>2.4750000000000001E-7</v>
      </c>
      <c r="BV52" s="11">
        <f t="shared" si="23"/>
        <v>2.1345498805607308</v>
      </c>
    </row>
    <row r="53" spans="1:74" x14ac:dyDescent="0.25">
      <c r="A53" t="s">
        <v>53</v>
      </c>
      <c r="B53" t="s">
        <v>5</v>
      </c>
      <c r="C53" s="1">
        <v>8.6799999999999996E-4</v>
      </c>
      <c r="D53">
        <v>6.0796545954519488E-9</v>
      </c>
      <c r="F53" t="s">
        <v>53</v>
      </c>
      <c r="G53" t="s">
        <v>6</v>
      </c>
      <c r="H53" s="1">
        <v>4.66E-4</v>
      </c>
      <c r="I53">
        <v>3.2658109253292661E-9</v>
      </c>
      <c r="K53" t="s">
        <v>53</v>
      </c>
      <c r="L53" t="s">
        <v>7</v>
      </c>
      <c r="M53" s="1">
        <v>4.2299999999999998E-4</v>
      </c>
      <c r="N53">
        <v>2.9599913851225982E-9</v>
      </c>
      <c r="P53" t="s">
        <v>53</v>
      </c>
      <c r="Q53" t="s">
        <v>446</v>
      </c>
      <c r="R53">
        <v>3.0463913077607085E-9</v>
      </c>
      <c r="T53">
        <f t="shared" si="16"/>
        <v>2.8138436701226828E-9</v>
      </c>
      <c r="V53" s="1">
        <f t="shared" si="17"/>
        <v>3.1196632103293506E-9</v>
      </c>
      <c r="X53">
        <f t="shared" si="7"/>
        <v>3.0332632876912404E-9</v>
      </c>
      <c r="AA53" t="s">
        <v>270</v>
      </c>
      <c r="AB53" t="s">
        <v>224</v>
      </c>
      <c r="AC53">
        <v>350</v>
      </c>
      <c r="AD53" s="1">
        <v>1.16212332191797E-4</v>
      </c>
      <c r="AE53" s="1">
        <v>-1.70410491990571E-6</v>
      </c>
      <c r="AF53" s="1">
        <v>7.6402989982630398E-7</v>
      </c>
      <c r="AG53">
        <f t="shared" si="18"/>
        <v>1.162273370112318E-4</v>
      </c>
      <c r="AI53" t="s">
        <v>270</v>
      </c>
      <c r="AJ53" t="s">
        <v>224</v>
      </c>
      <c r="AK53">
        <v>550</v>
      </c>
      <c r="AL53" s="1">
        <v>4.27680958054632E-5</v>
      </c>
      <c r="AM53" s="1">
        <v>-7.28801139993383E-7</v>
      </c>
      <c r="AN53" s="1">
        <v>-2.4620659961952199E-7</v>
      </c>
      <c r="AO53">
        <f t="shared" si="19"/>
        <v>4.2775013589905862E-5</v>
      </c>
      <c r="AQ53" t="s">
        <v>270</v>
      </c>
      <c r="AR53" t="s">
        <v>224</v>
      </c>
      <c r="AS53">
        <v>600</v>
      </c>
      <c r="AT53" s="1">
        <v>3.5626908155326799E-5</v>
      </c>
      <c r="AU53" s="1">
        <v>-1.5170323099652599E-6</v>
      </c>
      <c r="AV53" s="1">
        <v>-6.4006314955610896E-7</v>
      </c>
      <c r="AW53">
        <f t="shared" si="24"/>
        <v>3.5664935897502877E-5</v>
      </c>
      <c r="AY53" t="s">
        <v>270</v>
      </c>
      <c r="AZ53" t="s">
        <v>224</v>
      </c>
      <c r="BA53">
        <v>800</v>
      </c>
      <c r="BB53">
        <v>1.3933905231458108E-5</v>
      </c>
      <c r="BD53">
        <f t="shared" si="21"/>
        <v>7.3452323421325936E-5</v>
      </c>
      <c r="BF53">
        <f t="shared" si="22"/>
        <v>8.0562401113728921E-5</v>
      </c>
      <c r="BH53">
        <f t="shared" si="12"/>
        <v>1.0229343177977368E-4</v>
      </c>
      <c r="BJ53">
        <f t="shared" si="13"/>
        <v>3.8308436534843768E-2</v>
      </c>
      <c r="BL53" s="1">
        <f t="shared" si="14"/>
        <v>3.8723562942536455E-2</v>
      </c>
      <c r="BN53">
        <f t="shared" si="15"/>
        <v>2.9652571381332839E-2</v>
      </c>
      <c r="BP53">
        <v>2.6473597351937599</v>
      </c>
      <c r="BQ53" s="3">
        <v>76.320000000000007</v>
      </c>
      <c r="BR53">
        <v>9.42</v>
      </c>
      <c r="BT53" s="1">
        <v>2.4371E-7</v>
      </c>
      <c r="BV53" s="11">
        <f t="shared" si="23"/>
        <v>2.6482236141803135</v>
      </c>
    </row>
    <row r="54" spans="1:74" x14ac:dyDescent="0.25">
      <c r="A54" t="s">
        <v>54</v>
      </c>
      <c r="B54" t="s">
        <v>5</v>
      </c>
      <c r="C54" s="1">
        <v>1.1800000000000001E-3</v>
      </c>
      <c r="D54">
        <v>8.2562434557127743E-9</v>
      </c>
      <c r="F54" t="s">
        <v>54</v>
      </c>
      <c r="G54" t="s">
        <v>6</v>
      </c>
      <c r="H54" s="1">
        <v>1E-3</v>
      </c>
      <c r="I54">
        <v>7.0045620134309621E-9</v>
      </c>
      <c r="K54" t="s">
        <v>54</v>
      </c>
      <c r="L54" t="s">
        <v>7</v>
      </c>
      <c r="M54" s="1">
        <v>9.1399999999999999E-4</v>
      </c>
      <c r="N54">
        <v>6.393402849813235E-9</v>
      </c>
      <c r="P54" t="s">
        <v>54</v>
      </c>
      <c r="Q54" t="s">
        <v>446</v>
      </c>
      <c r="R54">
        <v>3.5900247910007529E-9</v>
      </c>
      <c r="T54">
        <f t="shared" si="16"/>
        <v>1.2516814422818122E-9</v>
      </c>
      <c r="V54" s="1">
        <f t="shared" si="17"/>
        <v>1.8628406058995393E-9</v>
      </c>
      <c r="X54">
        <f t="shared" si="7"/>
        <v>4.6662186647120214E-9</v>
      </c>
      <c r="AA54" t="s">
        <v>271</v>
      </c>
      <c r="AB54" t="s">
        <v>224</v>
      </c>
      <c r="AC54">
        <v>350</v>
      </c>
      <c r="AD54" s="1">
        <v>1.17843571305807E-4</v>
      </c>
      <c r="AE54" s="1">
        <v>-1.00924969971878E-7</v>
      </c>
      <c r="AF54" s="1">
        <v>3.1411077504769802E-6</v>
      </c>
      <c r="AG54">
        <f t="shared" si="18"/>
        <v>1.1788547002008556E-4</v>
      </c>
      <c r="AI54" t="s">
        <v>271</v>
      </c>
      <c r="AJ54" t="s">
        <v>224</v>
      </c>
      <c r="AK54">
        <v>550</v>
      </c>
      <c r="AL54" s="1">
        <v>4.4627624391107399E-5</v>
      </c>
      <c r="AM54" s="1">
        <v>4.9929613005293603E-7</v>
      </c>
      <c r="AN54" s="1">
        <v>1.0434176498547901E-6</v>
      </c>
      <c r="AO54">
        <f t="shared" si="19"/>
        <v>4.4642612779846102E-5</v>
      </c>
      <c r="AQ54" t="s">
        <v>271</v>
      </c>
      <c r="AR54" t="s">
        <v>224</v>
      </c>
      <c r="AS54">
        <v>600</v>
      </c>
      <c r="AT54" s="1">
        <v>3.7174340914743301E-5</v>
      </c>
      <c r="AU54" s="1">
        <v>1.51917860064516E-7</v>
      </c>
      <c r="AV54" s="1">
        <v>2.3498174999476198E-6</v>
      </c>
      <c r="AW54">
        <f t="shared" si="24"/>
        <v>3.7248843522515224E-5</v>
      </c>
      <c r="AY54" t="s">
        <v>271</v>
      </c>
      <c r="AZ54" t="s">
        <v>224</v>
      </c>
      <c r="BA54">
        <v>800</v>
      </c>
      <c r="BB54">
        <v>1.6131429505935214E-5</v>
      </c>
      <c r="BD54">
        <f t="shared" si="21"/>
        <v>7.3242857240239461E-5</v>
      </c>
      <c r="BF54">
        <f t="shared" si="22"/>
        <v>8.0636626497570326E-5</v>
      </c>
      <c r="BH54">
        <f t="shared" si="12"/>
        <v>1.0175404051415035E-4</v>
      </c>
      <c r="BJ54">
        <f t="shared" si="13"/>
        <v>1.7089467689337237E-2</v>
      </c>
      <c r="BL54" s="1">
        <f t="shared" si="14"/>
        <v>2.3101668395758952E-2</v>
      </c>
      <c r="BN54">
        <f t="shared" si="15"/>
        <v>4.5857821872568462E-2</v>
      </c>
      <c r="BP54">
        <v>3.2007243980575932</v>
      </c>
      <c r="BQ54" s="4">
        <v>76.34</v>
      </c>
      <c r="BR54">
        <v>10.23</v>
      </c>
      <c r="BT54" s="1">
        <v>2.4369999999999999E-7</v>
      </c>
      <c r="BV54" s="11">
        <f t="shared" si="23"/>
        <v>3.3117025908065152</v>
      </c>
    </row>
    <row r="55" spans="1:74" x14ac:dyDescent="0.25">
      <c r="A55" t="s">
        <v>55</v>
      </c>
      <c r="B55" t="s">
        <v>5</v>
      </c>
      <c r="C55" s="1">
        <v>6.6500000000000001E-4</v>
      </c>
      <c r="D55">
        <v>3.9925942693942746E-9</v>
      </c>
      <c r="F55" t="s">
        <v>55</v>
      </c>
      <c r="G55" t="s">
        <v>6</v>
      </c>
      <c r="H55" s="1">
        <v>4.1399999999999998E-4</v>
      </c>
      <c r="I55">
        <v>2.4860860805692148E-9</v>
      </c>
      <c r="K55" t="s">
        <v>55</v>
      </c>
      <c r="L55" t="s">
        <v>7</v>
      </c>
      <c r="M55" s="1">
        <v>4.4700000000000002E-4</v>
      </c>
      <c r="N55">
        <v>2.6817801923349349E-9</v>
      </c>
      <c r="P55" t="s">
        <v>55</v>
      </c>
      <c r="Q55" t="s">
        <v>446</v>
      </c>
      <c r="R55">
        <v>4.4125174220619231E-9</v>
      </c>
      <c r="T55">
        <f t="shared" si="16"/>
        <v>1.5065081888250598E-9</v>
      </c>
      <c r="V55" s="1">
        <f t="shared" si="17"/>
        <v>1.3108140770593398E-9</v>
      </c>
      <c r="X55">
        <f t="shared" si="7"/>
        <v>-4.1992315266764848E-10</v>
      </c>
      <c r="AA55" t="s">
        <v>272</v>
      </c>
      <c r="AB55" t="s">
        <v>224</v>
      </c>
      <c r="AC55">
        <v>350</v>
      </c>
      <c r="AD55" s="1">
        <v>1.01032675855457E-4</v>
      </c>
      <c r="AE55" s="1">
        <v>4.3932335319936798E-7</v>
      </c>
      <c r="AF55" s="1">
        <v>-1.46774165337192E-6</v>
      </c>
      <c r="AG55">
        <f t="shared" si="18"/>
        <v>1.0104429158088819E-4</v>
      </c>
      <c r="AI55" t="s">
        <v>272</v>
      </c>
      <c r="AJ55" t="s">
        <v>224</v>
      </c>
      <c r="AK55">
        <v>550</v>
      </c>
      <c r="AL55" s="1">
        <v>3.74525603889801E-5</v>
      </c>
      <c r="AM55" s="1">
        <v>-1.21588561983954E-6</v>
      </c>
      <c r="AN55" s="1">
        <v>-1.0250384998437699E-7</v>
      </c>
      <c r="AO55">
        <f t="shared" si="19"/>
        <v>3.747243206104983E-5</v>
      </c>
      <c r="AQ55" t="s">
        <v>272</v>
      </c>
      <c r="AR55" t="s">
        <v>224</v>
      </c>
      <c r="AS55">
        <v>600</v>
      </c>
      <c r="AT55" s="1">
        <v>3.1838373542137403E-5</v>
      </c>
      <c r="AU55" s="1">
        <v>-7.7636489995037195E-7</v>
      </c>
      <c r="AV55" s="1">
        <v>-1.15800980020954E-6</v>
      </c>
      <c r="AW55">
        <f t="shared" si="24"/>
        <v>3.1868883867558517E-5</v>
      </c>
      <c r="AY55" t="s">
        <v>272</v>
      </c>
      <c r="AZ55" t="s">
        <v>224</v>
      </c>
      <c r="BA55">
        <v>800</v>
      </c>
      <c r="BB55">
        <v>1.2756052251915093E-5</v>
      </c>
      <c r="BD55">
        <f t="shared" si="21"/>
        <v>6.3571859519838365E-5</v>
      </c>
      <c r="BF55">
        <f t="shared" si="22"/>
        <v>6.9175407713329678E-5</v>
      </c>
      <c r="BH55">
        <f t="shared" si="12"/>
        <v>8.8288239328973095E-5</v>
      </c>
      <c r="BJ55">
        <f t="shared" si="13"/>
        <v>2.3697720975975788E-2</v>
      </c>
      <c r="BL55" s="1">
        <f t="shared" si="14"/>
        <v>1.8949134098225975E-2</v>
      </c>
      <c r="BN55">
        <f t="shared" si="15"/>
        <v>-4.7562750810214022E-3</v>
      </c>
      <c r="BP55">
        <v>2.7164869643839391</v>
      </c>
      <c r="BQ55" s="4">
        <v>76.36</v>
      </c>
      <c r="BR55">
        <v>8.34</v>
      </c>
      <c r="BT55" s="1">
        <v>2.4389E-7</v>
      </c>
      <c r="BV55" s="11">
        <f t="shared" si="23"/>
        <v>1.9628862588198863</v>
      </c>
    </row>
    <row r="56" spans="1:74" x14ac:dyDescent="0.25">
      <c r="A56" t="s">
        <v>56</v>
      </c>
      <c r="B56" t="s">
        <v>5</v>
      </c>
      <c r="C56" s="1">
        <v>1.39E-3</v>
      </c>
      <c r="D56">
        <v>8.3414917131170245E-9</v>
      </c>
      <c r="F56" t="s">
        <v>56</v>
      </c>
      <c r="G56" t="s">
        <v>6</v>
      </c>
      <c r="H56" s="1">
        <v>1.1999999999999999E-3</v>
      </c>
      <c r="I56">
        <v>7.1992505859985174E-9</v>
      </c>
      <c r="K56" t="s">
        <v>56</v>
      </c>
      <c r="L56" t="s">
        <v>7</v>
      </c>
      <c r="M56" s="1">
        <v>1.1299999999999999E-3</v>
      </c>
      <c r="N56">
        <v>6.7800749265771394E-9</v>
      </c>
      <c r="P56" t="s">
        <v>56</v>
      </c>
      <c r="Q56" t="s">
        <v>446</v>
      </c>
      <c r="R56">
        <v>5.1043323755413891E-9</v>
      </c>
      <c r="T56">
        <f t="shared" si="16"/>
        <v>1.1422411271185071E-9</v>
      </c>
      <c r="V56" s="1">
        <f t="shared" si="17"/>
        <v>1.561416786539885E-9</v>
      </c>
      <c r="X56">
        <f t="shared" si="7"/>
        <v>3.2371593375756353E-9</v>
      </c>
      <c r="AA56" t="s">
        <v>273</v>
      </c>
      <c r="AB56" t="s">
        <v>224</v>
      </c>
      <c r="AC56">
        <v>350</v>
      </c>
      <c r="AD56" s="1">
        <v>1.3316855099001801E-4</v>
      </c>
      <c r="AE56" s="1">
        <v>-1.2130732455930299E-6</v>
      </c>
      <c r="AF56" s="1">
        <v>1.4313533953818799E-6</v>
      </c>
      <c r="AG56">
        <f t="shared" si="18"/>
        <v>1.3318176786641134E-4</v>
      </c>
      <c r="AI56" t="s">
        <v>273</v>
      </c>
      <c r="AJ56" t="s">
        <v>224</v>
      </c>
      <c r="AK56">
        <v>550</v>
      </c>
      <c r="AL56" s="1">
        <v>4.9634690430965302E-5</v>
      </c>
      <c r="AM56" s="1">
        <v>-2.0789902399189399E-6</v>
      </c>
      <c r="AN56" s="1">
        <v>1.26224055045124E-6</v>
      </c>
      <c r="AO56">
        <f t="shared" si="19"/>
        <v>4.9694244594345533E-5</v>
      </c>
      <c r="AQ56" t="s">
        <v>273</v>
      </c>
      <c r="AR56" t="s">
        <v>224</v>
      </c>
      <c r="AS56">
        <v>600</v>
      </c>
      <c r="AT56" s="1">
        <v>4.1642569556058301E-5</v>
      </c>
      <c r="AU56" s="1">
        <v>-1.3463652498924701E-6</v>
      </c>
      <c r="AV56" s="1">
        <v>1.31219730046043E-6</v>
      </c>
      <c r="AW56">
        <f t="shared" si="24"/>
        <v>4.1684987230088093E-5</v>
      </c>
      <c r="AY56" t="s">
        <v>273</v>
      </c>
      <c r="AZ56" t="s">
        <v>224</v>
      </c>
      <c r="BA56">
        <v>800</v>
      </c>
      <c r="BB56">
        <v>1.8465623309591116E-5</v>
      </c>
      <c r="BD56">
        <f t="shared" si="21"/>
        <v>8.3487523272065796E-5</v>
      </c>
      <c r="BF56">
        <f t="shared" si="22"/>
        <v>9.1496780636323235E-5</v>
      </c>
      <c r="BH56">
        <f t="shared" si="12"/>
        <v>1.1471614455682021E-4</v>
      </c>
      <c r="BJ56">
        <f t="shared" si="13"/>
        <v>1.3681578783888673E-2</v>
      </c>
      <c r="BL56" s="1">
        <f t="shared" si="14"/>
        <v>1.7065264763206536E-2</v>
      </c>
      <c r="BN56">
        <f t="shared" si="15"/>
        <v>2.8218864485741443E-2</v>
      </c>
      <c r="BP56">
        <v>3.425773131267178</v>
      </c>
      <c r="BQ56" s="4">
        <v>76.38</v>
      </c>
      <c r="BR56">
        <v>11.12</v>
      </c>
      <c r="BT56" s="1">
        <v>2.4564999999999998E-7</v>
      </c>
      <c r="BV56" s="11">
        <f t="shared" si="23"/>
        <v>3.0536704533402887</v>
      </c>
    </row>
    <row r="57" spans="1:74" x14ac:dyDescent="0.25">
      <c r="A57" t="s">
        <v>57</v>
      </c>
      <c r="B57" t="s">
        <v>5</v>
      </c>
      <c r="C57" s="1">
        <v>1.4499999999999999E-3</v>
      </c>
      <c r="D57">
        <v>8.6986470787128732E-9</v>
      </c>
      <c r="F57" t="s">
        <v>57</v>
      </c>
      <c r="G57" t="s">
        <v>6</v>
      </c>
      <c r="H57" s="1">
        <v>9.0300000000000005E-4</v>
      </c>
      <c r="I57">
        <v>5.4146675798242682E-9</v>
      </c>
      <c r="K57" t="s">
        <v>57</v>
      </c>
      <c r="L57" t="s">
        <v>7</v>
      </c>
      <c r="M57" s="1">
        <v>8.3699999999999996E-4</v>
      </c>
      <c r="N57">
        <v>5.0239183910569249E-9</v>
      </c>
      <c r="P57" t="s">
        <v>57</v>
      </c>
      <c r="Q57" t="s">
        <v>446</v>
      </c>
      <c r="R57">
        <v>4.0119446656204021E-9</v>
      </c>
      <c r="T57">
        <f t="shared" si="16"/>
        <v>3.283979498888605E-9</v>
      </c>
      <c r="V57" s="1">
        <f t="shared" si="17"/>
        <v>3.6747286876559483E-9</v>
      </c>
      <c r="X57">
        <f t="shared" si="7"/>
        <v>4.6867024130924711E-9</v>
      </c>
      <c r="AA57" t="s">
        <v>274</v>
      </c>
      <c r="AB57" t="s">
        <v>224</v>
      </c>
      <c r="AC57">
        <v>350</v>
      </c>
      <c r="AD57" s="1">
        <v>1.14706294042849E-4</v>
      </c>
      <c r="AE57" s="1">
        <v>-3.3595606696274799E-7</v>
      </c>
      <c r="AF57" s="1">
        <v>8.9330069588918201E-7</v>
      </c>
      <c r="AG57">
        <f t="shared" si="18"/>
        <v>1.1471026434306888E-4</v>
      </c>
      <c r="AI57" t="s">
        <v>274</v>
      </c>
      <c r="AJ57" t="s">
        <v>224</v>
      </c>
      <c r="AK57">
        <v>550</v>
      </c>
      <c r="AL57" s="1">
        <v>4.39521317334663E-5</v>
      </c>
      <c r="AM57" s="1">
        <v>-9.3252599818033394E-9</v>
      </c>
      <c r="AN57" s="1">
        <v>-6.2933169970131602E-7</v>
      </c>
      <c r="AO57">
        <f t="shared" si="19"/>
        <v>4.3956638056893044E-5</v>
      </c>
      <c r="AQ57" t="s">
        <v>274</v>
      </c>
      <c r="AR57" t="s">
        <v>224</v>
      </c>
      <c r="AS57">
        <v>600</v>
      </c>
      <c r="AT57" s="1">
        <v>3.70862889313607E-5</v>
      </c>
      <c r="AU57" s="1">
        <v>-1.18978476005624E-6</v>
      </c>
      <c r="AV57" s="1">
        <v>-4.9093299965812204E-7</v>
      </c>
      <c r="AW57">
        <f t="shared" si="24"/>
        <v>3.7108616650122957E-5</v>
      </c>
      <c r="AY57" t="s">
        <v>274</v>
      </c>
      <c r="AZ57" t="s">
        <v>224</v>
      </c>
      <c r="BA57">
        <v>800</v>
      </c>
      <c r="BB57">
        <v>1.4063056892478732E-5</v>
      </c>
      <c r="BD57">
        <f t="shared" si="21"/>
        <v>7.0753626286175838E-5</v>
      </c>
      <c r="BF57">
        <f t="shared" si="22"/>
        <v>7.7601647692945926E-5</v>
      </c>
      <c r="BH57">
        <f t="shared" si="12"/>
        <v>1.0064720745059015E-4</v>
      </c>
      <c r="BJ57">
        <f t="shared" si="13"/>
        <v>4.6414292401154904E-2</v>
      </c>
      <c r="BL57" s="1">
        <f t="shared" si="14"/>
        <v>4.7353745660093573E-2</v>
      </c>
      <c r="BN57">
        <f t="shared" si="15"/>
        <v>4.6565647789018616E-2</v>
      </c>
      <c r="BP57">
        <v>3.720696125690627</v>
      </c>
      <c r="BQ57" s="4">
        <v>76.399999999999991</v>
      </c>
      <c r="BR57">
        <v>9.48</v>
      </c>
      <c r="BT57" s="1">
        <v>2.502E-7</v>
      </c>
      <c r="BV57" s="11">
        <f t="shared" si="23"/>
        <v>3.6673813180311754</v>
      </c>
    </row>
    <row r="58" spans="1:74" x14ac:dyDescent="0.25">
      <c r="A58" t="s">
        <v>58</v>
      </c>
      <c r="B58" t="s">
        <v>5</v>
      </c>
      <c r="C58" s="1">
        <v>1.1199999999999999E-3</v>
      </c>
      <c r="D58">
        <v>6.7174906773288496E-9</v>
      </c>
      <c r="F58" t="s">
        <v>58</v>
      </c>
      <c r="G58" t="s">
        <v>6</v>
      </c>
      <c r="H58" s="1">
        <v>6.78E-4</v>
      </c>
      <c r="I58">
        <v>4.0707070638895154E-9</v>
      </c>
      <c r="K58" t="s">
        <v>58</v>
      </c>
      <c r="L58" t="s">
        <v>7</v>
      </c>
      <c r="M58" s="1">
        <v>5.2599999999999999E-4</v>
      </c>
      <c r="N58">
        <v>3.1527765540868894E-9</v>
      </c>
      <c r="P58" t="s">
        <v>58</v>
      </c>
      <c r="Q58" t="s">
        <v>446</v>
      </c>
      <c r="R58">
        <v>3.4882574446276184E-9</v>
      </c>
      <c r="T58">
        <f t="shared" si="16"/>
        <v>2.6467836134393343E-9</v>
      </c>
      <c r="V58" s="1">
        <f t="shared" si="17"/>
        <v>3.5647141232419602E-9</v>
      </c>
      <c r="X58">
        <f t="shared" si="7"/>
        <v>3.2292332327012312E-9</v>
      </c>
      <c r="AA58" s="2" t="s">
        <v>275</v>
      </c>
      <c r="AB58" t="s">
        <v>224</v>
      </c>
      <c r="AC58">
        <v>350</v>
      </c>
      <c r="AD58" s="1">
        <v>1.01898866702749E-4</v>
      </c>
      <c r="AE58" s="1">
        <v>-1.3399017100810599E-6</v>
      </c>
      <c r="AF58" s="1">
        <v>2.5213973505835799E-6</v>
      </c>
      <c r="AG58">
        <f t="shared" ref="AG58:AG89" si="25">SQRT(AD58^2+AE58^2+AF58^2)</f>
        <v>1.01938863131275E-4</v>
      </c>
      <c r="AI58" t="s">
        <v>275</v>
      </c>
      <c r="AJ58" t="s">
        <v>224</v>
      </c>
      <c r="AK58">
        <v>550</v>
      </c>
      <c r="AL58" s="1">
        <v>3.9079553925844202E-5</v>
      </c>
      <c r="AM58" s="1">
        <v>-1.2766478300694801E-6</v>
      </c>
      <c r="AN58" s="1">
        <v>-2.7852430008822702E-7</v>
      </c>
      <c r="AO58">
        <f t="shared" ref="AO58:AO89" si="26">SQRT(AL58^2+AM58^2+AN58^2)</f>
        <v>3.9101393076343532E-5</v>
      </c>
      <c r="AQ58" s="2" t="s">
        <v>275</v>
      </c>
      <c r="AR58" t="s">
        <v>224</v>
      </c>
      <c r="AS58">
        <v>600</v>
      </c>
      <c r="AT58" s="1">
        <v>3.1775220249653998E-5</v>
      </c>
      <c r="AU58" s="1">
        <v>-1.87839847016212E-6</v>
      </c>
      <c r="AV58" s="1">
        <v>5.6580644997426698E-7</v>
      </c>
      <c r="AW58">
        <f t="shared" si="24"/>
        <v>3.1835721126834261E-5</v>
      </c>
      <c r="AY58" t="s">
        <v>275</v>
      </c>
      <c r="AZ58" t="s">
        <v>224</v>
      </c>
      <c r="BA58">
        <v>600</v>
      </c>
      <c r="BB58">
        <v>3.1835721126834261E-5</v>
      </c>
      <c r="BD58">
        <f t="shared" si="21"/>
        <v>6.283747005493147E-5</v>
      </c>
      <c r="BF58">
        <f t="shared" si="22"/>
        <v>7.0103142004440748E-5</v>
      </c>
      <c r="BH58">
        <f t="shared" si="12"/>
        <v>7.0103142004440748E-5</v>
      </c>
      <c r="BJ58">
        <f t="shared" si="13"/>
        <v>4.2121104034353395E-2</v>
      </c>
      <c r="BL58" s="1">
        <f t="shared" si="14"/>
        <v>5.0849562820110827E-2</v>
      </c>
      <c r="BN58">
        <f t="shared" si="15"/>
        <v>4.6064029947426213E-2</v>
      </c>
      <c r="BP58">
        <v>3.5199003325736018</v>
      </c>
      <c r="BQ58" s="4">
        <v>76.419999999999987</v>
      </c>
      <c r="BR58">
        <v>8.5299999999999994</v>
      </c>
      <c r="BT58" s="1">
        <v>2.4578999999999998E-7</v>
      </c>
      <c r="BV58" s="11">
        <f t="shared" si="23"/>
        <v>3.2040097694549488</v>
      </c>
    </row>
    <row r="59" spans="1:74" x14ac:dyDescent="0.25">
      <c r="A59" t="s">
        <v>59</v>
      </c>
      <c r="B59" t="s">
        <v>5</v>
      </c>
      <c r="C59" s="1">
        <v>1.41E-3</v>
      </c>
      <c r="D59">
        <v>8.4579429390366552E-9</v>
      </c>
      <c r="F59" t="s">
        <v>59</v>
      </c>
      <c r="G59" t="s">
        <v>6</v>
      </c>
      <c r="H59" s="1">
        <v>1.1999999999999999E-3</v>
      </c>
      <c r="I59">
        <v>7.2002013860724759E-9</v>
      </c>
      <c r="K59" t="s">
        <v>59</v>
      </c>
      <c r="L59" t="s">
        <v>7</v>
      </c>
      <c r="M59" s="1">
        <v>1.1299999999999999E-3</v>
      </c>
      <c r="N59">
        <v>6.7790765514190799E-9</v>
      </c>
      <c r="P59" t="s">
        <v>59</v>
      </c>
      <c r="Q59" t="s">
        <v>446</v>
      </c>
      <c r="R59">
        <v>4.4559147209074818E-9</v>
      </c>
      <c r="T59">
        <f t="shared" si="16"/>
        <v>1.2577415529641793E-9</v>
      </c>
      <c r="V59" s="1">
        <f t="shared" si="17"/>
        <v>1.6788663876175753E-9</v>
      </c>
      <c r="X59">
        <f t="shared" si="7"/>
        <v>4.0020282181291735E-9</v>
      </c>
      <c r="AA59" t="s">
        <v>276</v>
      </c>
      <c r="AB59" t="s">
        <v>224</v>
      </c>
      <c r="AC59">
        <v>350</v>
      </c>
      <c r="AD59" s="1">
        <v>1.02370172528933E-4</v>
      </c>
      <c r="AE59" s="1">
        <v>3.0097399272128802E-9</v>
      </c>
      <c r="AF59" s="1">
        <v>5.9380690046870502E-7</v>
      </c>
      <c r="AG59">
        <f t="shared" si="25"/>
        <v>1.0237189477242808E-4</v>
      </c>
      <c r="AI59" t="s">
        <v>276</v>
      </c>
      <c r="AJ59" t="s">
        <v>224</v>
      </c>
      <c r="AK59">
        <v>550</v>
      </c>
      <c r="AL59" s="1">
        <v>4.0237099055481002E-5</v>
      </c>
      <c r="AM59" s="1">
        <v>5.60650419971878E-7</v>
      </c>
      <c r="AN59" s="1">
        <v>-2.12532049603898E-7</v>
      </c>
      <c r="AO59">
        <f t="shared" si="26"/>
        <v>4.0241566062544254E-5</v>
      </c>
      <c r="AQ59" t="s">
        <v>276</v>
      </c>
      <c r="AR59" t="s">
        <v>224</v>
      </c>
      <c r="AS59">
        <v>600</v>
      </c>
      <c r="AT59" s="1">
        <v>3.5182137349029302E-5</v>
      </c>
      <c r="AU59" s="1">
        <v>5.9126589002646797E-7</v>
      </c>
      <c r="AV59" s="1">
        <v>-6.8681279995588704E-7</v>
      </c>
      <c r="AW59">
        <f t="shared" si="24"/>
        <v>3.519380763175327E-5</v>
      </c>
      <c r="AY59" t="s">
        <v>276</v>
      </c>
      <c r="AZ59" t="s">
        <v>224</v>
      </c>
      <c r="BA59">
        <v>800</v>
      </c>
      <c r="BB59">
        <v>1.5501818200230891E-5</v>
      </c>
      <c r="BD59">
        <f t="shared" si="21"/>
        <v>6.2130328709883833E-5</v>
      </c>
      <c r="BF59">
        <f t="shared" si="22"/>
        <v>6.7178087140674816E-5</v>
      </c>
      <c r="BH59">
        <f t="shared" si="12"/>
        <v>8.6870076572197191E-5</v>
      </c>
      <c r="BJ59">
        <f t="shared" si="13"/>
        <v>2.0243600494006319E-2</v>
      </c>
      <c r="BL59" s="1">
        <f t="shared" si="14"/>
        <v>2.4991280030077837E-2</v>
      </c>
      <c r="BN59">
        <f t="shared" si="15"/>
        <v>4.6069122718029522E-2</v>
      </c>
      <c r="BP59">
        <v>4.5649345300137538</v>
      </c>
      <c r="BQ59" s="3">
        <v>76.460000000000008</v>
      </c>
      <c r="BR59">
        <v>8.41</v>
      </c>
      <c r="BT59" s="1">
        <v>2.3914000000000001E-7</v>
      </c>
      <c r="BV59" s="11">
        <f t="shared" si="23"/>
        <v>4.2054892790310019</v>
      </c>
    </row>
    <row r="60" spans="1:74" x14ac:dyDescent="0.25">
      <c r="A60" t="s">
        <v>60</v>
      </c>
      <c r="B60" t="s">
        <v>5</v>
      </c>
      <c r="C60" s="1">
        <v>2.0100000000000001E-3</v>
      </c>
      <c r="D60">
        <v>1.4105093441732317E-8</v>
      </c>
      <c r="F60" t="s">
        <v>60</v>
      </c>
      <c r="G60" t="s">
        <v>6</v>
      </c>
      <c r="H60" s="1">
        <v>1.6299999999999999E-3</v>
      </c>
      <c r="I60">
        <v>1.1445108125308384E-8</v>
      </c>
      <c r="K60" t="s">
        <v>60</v>
      </c>
      <c r="L60" t="s">
        <v>7</v>
      </c>
      <c r="M60" s="1">
        <v>1.6199999999999999E-3</v>
      </c>
      <c r="N60">
        <v>1.1297813947839645E-8</v>
      </c>
      <c r="P60" t="s">
        <v>60</v>
      </c>
      <c r="Q60" t="s">
        <v>446</v>
      </c>
      <c r="R60">
        <v>7.4160814450759646E-9</v>
      </c>
      <c r="T60">
        <f t="shared" si="16"/>
        <v>2.6599853164239331E-9</v>
      </c>
      <c r="V60" s="1">
        <f t="shared" si="17"/>
        <v>2.8072794938926721E-9</v>
      </c>
      <c r="X60">
        <f t="shared" si="7"/>
        <v>6.6890119966563524E-9</v>
      </c>
      <c r="AA60" t="s">
        <v>277</v>
      </c>
      <c r="AB60" t="s">
        <v>224</v>
      </c>
      <c r="AC60">
        <v>350</v>
      </c>
      <c r="AD60" s="1">
        <v>1.18993377088523E-4</v>
      </c>
      <c r="AE60" s="1">
        <v>1.5788800082712601E-8</v>
      </c>
      <c r="AF60" s="1">
        <v>1.4182783001341801E-6</v>
      </c>
      <c r="AG60">
        <f t="shared" si="25"/>
        <v>1.1900183004287904E-4</v>
      </c>
      <c r="AI60" t="s">
        <v>277</v>
      </c>
      <c r="AJ60" t="s">
        <v>224</v>
      </c>
      <c r="AK60">
        <v>550</v>
      </c>
      <c r="AL60" s="1">
        <v>4.6166919750774997E-5</v>
      </c>
      <c r="AM60" s="1">
        <v>1.81531727992887E-6</v>
      </c>
      <c r="AN60" s="1">
        <v>1.5110374986306499E-7</v>
      </c>
      <c r="AO60">
        <f t="shared" si="26"/>
        <v>4.6202842861067862E-5</v>
      </c>
      <c r="AQ60" t="s">
        <v>277</v>
      </c>
      <c r="AR60" t="s">
        <v>224</v>
      </c>
      <c r="AS60">
        <v>600</v>
      </c>
      <c r="AT60" s="1">
        <v>3.8746318550181897E-5</v>
      </c>
      <c r="AU60" s="1">
        <v>3.4982059866005603E-8</v>
      </c>
      <c r="AV60" s="1">
        <v>-1.75157000102012E-7</v>
      </c>
      <c r="AW60">
        <f t="shared" si="24"/>
        <v>3.8746730248001145E-5</v>
      </c>
      <c r="AY60" t="s">
        <v>277</v>
      </c>
      <c r="AZ60" t="s">
        <v>224</v>
      </c>
      <c r="BA60">
        <v>800</v>
      </c>
      <c r="BB60">
        <v>1.6422470028651935E-5</v>
      </c>
      <c r="BD60">
        <f t="shared" si="21"/>
        <v>7.279898718181118E-5</v>
      </c>
      <c r="BF60">
        <f t="shared" si="22"/>
        <v>8.0255099794877897E-5</v>
      </c>
      <c r="BH60">
        <f t="shared" si="12"/>
        <v>1.0257936001422711E-4</v>
      </c>
      <c r="BJ60">
        <f t="shared" si="13"/>
        <v>3.6538768180672303E-2</v>
      </c>
      <c r="BL60" s="1">
        <f t="shared" si="14"/>
        <v>3.497945303248929E-2</v>
      </c>
      <c r="BN60">
        <f t="shared" si="15"/>
        <v>6.5208166591491978E-2</v>
      </c>
      <c r="BP60">
        <v>6.2535059314525592</v>
      </c>
      <c r="BQ60" s="4">
        <v>76.48</v>
      </c>
      <c r="BR60">
        <v>10.3</v>
      </c>
      <c r="BT60" s="1">
        <v>2.3885E-7</v>
      </c>
      <c r="BV60" s="11">
        <f t="shared" si="23"/>
        <v>5.7334165699853532</v>
      </c>
    </row>
    <row r="61" spans="1:74" x14ac:dyDescent="0.25">
      <c r="A61" t="s">
        <v>61</v>
      </c>
      <c r="B61" t="s">
        <v>5</v>
      </c>
      <c r="C61" s="1">
        <v>3.14E-3</v>
      </c>
      <c r="D61">
        <v>1.8803972984451981E-8</v>
      </c>
      <c r="F61" t="s">
        <v>61</v>
      </c>
      <c r="G61" t="s">
        <v>6</v>
      </c>
      <c r="H61" s="1">
        <v>2.2899999999999999E-3</v>
      </c>
      <c r="I61">
        <v>1.369563759012336E-8</v>
      </c>
      <c r="K61" t="s">
        <v>61</v>
      </c>
      <c r="L61" t="s">
        <v>7</v>
      </c>
      <c r="M61" s="1">
        <v>2.2300000000000002E-3</v>
      </c>
      <c r="N61">
        <v>1.3425167000823491E-8</v>
      </c>
      <c r="P61" t="s">
        <v>61</v>
      </c>
      <c r="Q61" t="s">
        <v>446</v>
      </c>
      <c r="R61">
        <v>9.7746384076343199E-9</v>
      </c>
      <c r="T61">
        <f t="shared" si="16"/>
        <v>5.1083353943286209E-9</v>
      </c>
      <c r="V61" s="1">
        <f t="shared" si="17"/>
        <v>5.37880598362849E-9</v>
      </c>
      <c r="X61">
        <f t="shared" si="7"/>
        <v>9.0293345768176613E-9</v>
      </c>
      <c r="AA61" t="s">
        <v>278</v>
      </c>
      <c r="AB61" t="s">
        <v>224</v>
      </c>
      <c r="AC61">
        <v>350</v>
      </c>
      <c r="AD61" s="1">
        <v>9.58484444756979E-5</v>
      </c>
      <c r="AE61" s="1">
        <v>4.9162375985773403E-7</v>
      </c>
      <c r="AF61" s="1">
        <v>2.8086794999081E-6</v>
      </c>
      <c r="AG61">
        <f t="shared" si="25"/>
        <v>9.5890847753398261E-5</v>
      </c>
      <c r="AI61" t="s">
        <v>278</v>
      </c>
      <c r="AJ61" t="s">
        <v>224</v>
      </c>
      <c r="AK61">
        <v>550</v>
      </c>
      <c r="AL61" s="1">
        <v>3.7521330252871303E-5</v>
      </c>
      <c r="AM61" s="1">
        <v>1.5330924799206E-6</v>
      </c>
      <c r="AN61" s="1">
        <v>1.7738963505330399E-6</v>
      </c>
      <c r="AO61">
        <f t="shared" si="26"/>
        <v>3.7594511630814666E-5</v>
      </c>
      <c r="AQ61" t="s">
        <v>278</v>
      </c>
      <c r="AR61" t="s">
        <v>224</v>
      </c>
      <c r="AS61">
        <v>600</v>
      </c>
      <c r="AT61" s="1">
        <v>3.1370296127608403E-5</v>
      </c>
      <c r="AU61" s="1">
        <v>1.3512499099239001E-6</v>
      </c>
      <c r="AV61" s="1">
        <v>1.9520137505440698E-6</v>
      </c>
      <c r="AW61">
        <f t="shared" si="24"/>
        <v>3.146000179808045E-5</v>
      </c>
      <c r="AY61" t="s">
        <v>278</v>
      </c>
      <c r="AZ61" t="s">
        <v>224</v>
      </c>
      <c r="BA61">
        <v>800</v>
      </c>
      <c r="BB61">
        <v>1.3363032296490913E-5</v>
      </c>
      <c r="BD61">
        <f t="shared" si="21"/>
        <v>5.8296336122583595E-5</v>
      </c>
      <c r="BF61">
        <f t="shared" si="22"/>
        <v>6.4430845955317818E-5</v>
      </c>
      <c r="BH61">
        <f t="shared" si="12"/>
        <v>8.2527815456907353E-5</v>
      </c>
      <c r="BJ61">
        <f t="shared" si="13"/>
        <v>8.7627040292669225E-2</v>
      </c>
      <c r="BL61" s="1">
        <f t="shared" si="14"/>
        <v>8.3481846371513443E-2</v>
      </c>
      <c r="BN61">
        <f t="shared" si="15"/>
        <v>0.10940959150351448</v>
      </c>
      <c r="BP61">
        <v>9.990784465211819</v>
      </c>
      <c r="BQ61" s="4">
        <v>76.5</v>
      </c>
      <c r="BR61">
        <v>7.89</v>
      </c>
      <c r="BT61" s="1">
        <v>2.4228999999999998E-7</v>
      </c>
      <c r="BV61" s="11">
        <f t="shared" si="23"/>
        <v>9.8364213874008701</v>
      </c>
    </row>
    <row r="62" spans="1:74" x14ac:dyDescent="0.25">
      <c r="A62" t="s">
        <v>62</v>
      </c>
      <c r="B62" t="s">
        <v>5</v>
      </c>
      <c r="C62" s="1">
        <v>1.14E-3</v>
      </c>
      <c r="D62">
        <v>7.9812592991331879E-9</v>
      </c>
      <c r="F62" t="s">
        <v>62</v>
      </c>
      <c r="G62" t="s">
        <v>6</v>
      </c>
      <c r="H62" s="1">
        <v>8.1999999999999998E-4</v>
      </c>
      <c r="I62">
        <v>5.7402613180934544E-9</v>
      </c>
      <c r="K62" t="s">
        <v>62</v>
      </c>
      <c r="L62" t="s">
        <v>7</v>
      </c>
      <c r="M62" s="1">
        <v>7.27E-4</v>
      </c>
      <c r="N62">
        <v>5.0893025062379615E-9</v>
      </c>
      <c r="P62" t="s">
        <v>62</v>
      </c>
      <c r="Q62" t="s">
        <v>446</v>
      </c>
      <c r="R62">
        <v>3.9667366940597411E-9</v>
      </c>
      <c r="T62">
        <f t="shared" si="16"/>
        <v>2.2409979810397335E-9</v>
      </c>
      <c r="V62" s="1">
        <f t="shared" si="17"/>
        <v>2.8919567928952264E-9</v>
      </c>
      <c r="X62">
        <f t="shared" si="7"/>
        <v>4.0145226050734468E-9</v>
      </c>
      <c r="AA62" t="s">
        <v>279</v>
      </c>
      <c r="AB62" t="s">
        <v>224</v>
      </c>
      <c r="AC62">
        <v>350</v>
      </c>
      <c r="AD62" s="1">
        <v>1.07135460526321E-4</v>
      </c>
      <c r="AE62" s="1">
        <v>-1.4964081900595501E-6</v>
      </c>
      <c r="AF62" s="1">
        <v>1.0240516999044199E-6</v>
      </c>
      <c r="AG62">
        <f t="shared" si="25"/>
        <v>1.0715080411057231E-4</v>
      </c>
      <c r="AI62" t="s">
        <v>279</v>
      </c>
      <c r="AJ62" t="s">
        <v>224</v>
      </c>
      <c r="AK62">
        <v>550</v>
      </c>
      <c r="AL62" s="1">
        <v>4.0403075478296403E-5</v>
      </c>
      <c r="AM62" s="1">
        <v>-2.2808648501406098E-6</v>
      </c>
      <c r="AN62" s="1">
        <v>-4.7045689951199602E-7</v>
      </c>
      <c r="AO62">
        <f t="shared" si="26"/>
        <v>4.0470139390219816E-5</v>
      </c>
      <c r="AQ62" t="s">
        <v>279</v>
      </c>
      <c r="AR62" t="s">
        <v>224</v>
      </c>
      <c r="AS62">
        <v>600</v>
      </c>
      <c r="AT62" s="1">
        <v>3.2980705277730897E-5</v>
      </c>
      <c r="AU62" s="1">
        <v>-2.8836763000496298E-6</v>
      </c>
      <c r="AV62" s="1">
        <v>-1.6876746994559301E-6</v>
      </c>
      <c r="AW62">
        <f t="shared" si="24"/>
        <v>3.3149521195806102E-5</v>
      </c>
      <c r="AY62" t="s">
        <v>279</v>
      </c>
      <c r="AZ62" t="s">
        <v>224</v>
      </c>
      <c r="BA62">
        <v>800</v>
      </c>
      <c r="BB62">
        <v>1.4231788526494915E-5</v>
      </c>
      <c r="BD62">
        <f t="shared" si="21"/>
        <v>6.6680664720352497E-5</v>
      </c>
      <c r="BF62">
        <f t="shared" si="22"/>
        <v>7.4001282914766211E-5</v>
      </c>
      <c r="BH62">
        <f t="shared" si="12"/>
        <v>9.2919015584077386E-5</v>
      </c>
      <c r="BJ62">
        <f t="shared" si="13"/>
        <v>3.3607913035032008E-2</v>
      </c>
      <c r="BL62" s="1">
        <f t="shared" si="14"/>
        <v>3.9079819686722833E-2</v>
      </c>
      <c r="BN62">
        <f t="shared" si="15"/>
        <v>4.3204532246049497E-2</v>
      </c>
      <c r="BP62">
        <v>4.1984501839908983</v>
      </c>
      <c r="BQ62" s="4">
        <v>76.52</v>
      </c>
      <c r="BR62">
        <v>8.9700000000000006</v>
      </c>
      <c r="BT62" s="1">
        <v>2.3979000000000001E-7</v>
      </c>
      <c r="BV62" s="11">
        <f t="shared" si="23"/>
        <v>3.7106322078330929</v>
      </c>
    </row>
    <row r="63" spans="1:74" x14ac:dyDescent="0.25">
      <c r="A63" t="s">
        <v>63</v>
      </c>
      <c r="B63" t="s">
        <v>5</v>
      </c>
      <c r="C63" s="1">
        <v>1.4499999999999999E-3</v>
      </c>
      <c r="D63">
        <v>8.7003045923691658E-9</v>
      </c>
      <c r="F63" t="s">
        <v>63</v>
      </c>
      <c r="G63" t="s">
        <v>6</v>
      </c>
      <c r="H63" s="1">
        <v>8.7500000000000002E-4</v>
      </c>
      <c r="I63">
        <v>5.2442581934912393E-9</v>
      </c>
      <c r="K63" t="s">
        <v>63</v>
      </c>
      <c r="L63" t="s">
        <v>7</v>
      </c>
      <c r="M63" s="1">
        <v>8.0099999999999995E-4</v>
      </c>
      <c r="N63">
        <v>4.808627662857668E-9</v>
      </c>
      <c r="P63" t="s">
        <v>63</v>
      </c>
      <c r="Q63" t="s">
        <v>446</v>
      </c>
      <c r="R63">
        <v>4.9673634857940481E-9</v>
      </c>
      <c r="T63">
        <f t="shared" si="16"/>
        <v>3.4560463988779266E-9</v>
      </c>
      <c r="V63" s="1">
        <f t="shared" si="17"/>
        <v>3.8916769295114979E-9</v>
      </c>
      <c r="X63">
        <f t="shared" si="7"/>
        <v>3.7329411065751177E-9</v>
      </c>
      <c r="AA63" t="s">
        <v>280</v>
      </c>
      <c r="AB63" t="s">
        <v>224</v>
      </c>
      <c r="AC63">
        <v>350</v>
      </c>
      <c r="AD63" s="1">
        <v>1.0484389792420701E-4</v>
      </c>
      <c r="AE63" s="1">
        <v>-2.3889441200049599E-6</v>
      </c>
      <c r="AF63" s="1">
        <v>1.78635470000827E-6</v>
      </c>
      <c r="AG63">
        <f t="shared" si="25"/>
        <v>1.0488632441393056E-4</v>
      </c>
      <c r="AI63" t="s">
        <v>280</v>
      </c>
      <c r="AJ63" t="s">
        <v>224</v>
      </c>
      <c r="AK63">
        <v>550</v>
      </c>
      <c r="AL63" s="1">
        <v>4.0207424086924001E-5</v>
      </c>
      <c r="AM63" s="1">
        <v>-1.9596861201538501E-6</v>
      </c>
      <c r="AN63" s="1">
        <v>1.7515700047697599E-7</v>
      </c>
      <c r="AO63">
        <f t="shared" si="26"/>
        <v>4.0255533798101546E-5</v>
      </c>
      <c r="AQ63" t="s">
        <v>280</v>
      </c>
      <c r="AR63" t="s">
        <v>224</v>
      </c>
      <c r="AS63">
        <v>600</v>
      </c>
      <c r="AT63" s="1">
        <v>3.33757672015606E-5</v>
      </c>
      <c r="AU63" s="1">
        <v>-2.4076193100727902E-6</v>
      </c>
      <c r="AV63" s="1">
        <v>-6.5030119940630704E-7</v>
      </c>
      <c r="AW63">
        <f t="shared" si="24"/>
        <v>3.3468811730997454E-5</v>
      </c>
      <c r="AY63" t="s">
        <v>280</v>
      </c>
      <c r="AZ63" t="s">
        <v>224</v>
      </c>
      <c r="BA63">
        <v>800</v>
      </c>
      <c r="BB63">
        <v>1.5604044366431049E-5</v>
      </c>
      <c r="BD63">
        <f t="shared" si="21"/>
        <v>6.4630790615829013E-5</v>
      </c>
      <c r="BF63">
        <f t="shared" si="22"/>
        <v>7.1417512682933105E-5</v>
      </c>
      <c r="BH63">
        <f t="shared" si="12"/>
        <v>8.9282280047499503E-5</v>
      </c>
      <c r="BJ63">
        <f t="shared" si="13"/>
        <v>5.3473682836729701E-2</v>
      </c>
      <c r="BL63" s="1">
        <f t="shared" si="14"/>
        <v>5.4491913584124384E-2</v>
      </c>
      <c r="BN63">
        <f t="shared" si="15"/>
        <v>4.1810548572338624E-2</v>
      </c>
      <c r="BP63">
        <v>4.5339187265436838</v>
      </c>
      <c r="BQ63" s="4">
        <v>76.539999999999992</v>
      </c>
      <c r="BR63">
        <v>8.4700000000000006</v>
      </c>
      <c r="BT63" s="1">
        <v>2.4536999999999998E-7</v>
      </c>
      <c r="BV63" s="11">
        <f t="shared" si="23"/>
        <v>4.186292639022593</v>
      </c>
    </row>
    <row r="64" spans="1:74" x14ac:dyDescent="0.25">
      <c r="A64" t="s">
        <v>64</v>
      </c>
      <c r="B64" t="s">
        <v>5</v>
      </c>
      <c r="C64" s="1">
        <v>6.7500000000000004E-4</v>
      </c>
      <c r="D64">
        <v>4.7224316829362387E-9</v>
      </c>
      <c r="F64" t="s">
        <v>64</v>
      </c>
      <c r="G64" t="s">
        <v>6</v>
      </c>
      <c r="H64" s="1">
        <v>5.0299999999999997E-4</v>
      </c>
      <c r="I64">
        <v>3.5175016702199305E-9</v>
      </c>
      <c r="K64" t="s">
        <v>64</v>
      </c>
      <c r="L64" t="s">
        <v>7</v>
      </c>
      <c r="M64" s="1">
        <v>3.4299999999999999E-4</v>
      </c>
      <c r="N64">
        <v>2.398568114521662E-9</v>
      </c>
      <c r="P64" t="s">
        <v>64</v>
      </c>
      <c r="Q64" t="s">
        <v>446</v>
      </c>
      <c r="R64">
        <v>2.0340948847091671E-9</v>
      </c>
      <c r="T64">
        <f t="shared" si="16"/>
        <v>1.2049300127163082E-9</v>
      </c>
      <c r="V64" s="1">
        <f t="shared" si="17"/>
        <v>2.3238635684145767E-9</v>
      </c>
      <c r="X64">
        <f t="shared" si="7"/>
        <v>2.6883367982270716E-9</v>
      </c>
      <c r="AA64" t="s">
        <v>281</v>
      </c>
      <c r="AB64" t="s">
        <v>224</v>
      </c>
      <c r="AC64">
        <v>350</v>
      </c>
      <c r="AD64" s="1">
        <v>1.11530231446256E-4</v>
      </c>
      <c r="AE64" s="1">
        <v>9.8337086976509593E-7</v>
      </c>
      <c r="AF64" s="1">
        <v>-6.28221549834575E-7</v>
      </c>
      <c r="AG64">
        <f t="shared" si="25"/>
        <v>1.1153633581500967E-4</v>
      </c>
      <c r="AI64" t="s">
        <v>281</v>
      </c>
      <c r="AJ64" t="s">
        <v>224</v>
      </c>
      <c r="AK64">
        <v>550</v>
      </c>
      <c r="AL64" s="1">
        <v>4.2209312925660999E-5</v>
      </c>
      <c r="AM64" s="1">
        <v>2.2608574799619502E-6</v>
      </c>
      <c r="AN64" s="1">
        <v>-1.9333878993171599E-6</v>
      </c>
      <c r="AO64">
        <f t="shared" si="26"/>
        <v>4.2314011426125727E-5</v>
      </c>
      <c r="AQ64" t="s">
        <v>281</v>
      </c>
      <c r="AR64" t="s">
        <v>224</v>
      </c>
      <c r="AS64">
        <v>600</v>
      </c>
      <c r="AT64" s="1">
        <v>3.4846115775924002E-5</v>
      </c>
      <c r="AU64" s="1">
        <v>1.4304899499255601E-6</v>
      </c>
      <c r="AV64" s="1">
        <v>-1.14468799326352E-7</v>
      </c>
      <c r="AW64">
        <f t="shared" si="24"/>
        <v>3.4875653245092866E-5</v>
      </c>
      <c r="AY64" t="s">
        <v>281</v>
      </c>
      <c r="AZ64" t="s">
        <v>224</v>
      </c>
      <c r="BA64">
        <v>800</v>
      </c>
      <c r="BB64">
        <v>1.3598938945741342E-5</v>
      </c>
      <c r="BD64">
        <f t="shared" si="21"/>
        <v>6.9222324388883941E-5</v>
      </c>
      <c r="BF64">
        <f t="shared" si="22"/>
        <v>7.6660682569916808E-5</v>
      </c>
      <c r="BH64">
        <f t="shared" si="12"/>
        <v>9.7937396869268332E-5</v>
      </c>
      <c r="BJ64">
        <f t="shared" si="13"/>
        <v>1.7406667911743827E-2</v>
      </c>
      <c r="BL64" s="1">
        <f t="shared" si="14"/>
        <v>3.0313630018818899E-2</v>
      </c>
      <c r="BN64">
        <f t="shared" si="15"/>
        <v>2.7449543117994E-2</v>
      </c>
      <c r="BP64">
        <v>1.9227697057483302</v>
      </c>
      <c r="BQ64" s="3">
        <v>76.58</v>
      </c>
      <c r="BR64">
        <v>9.26</v>
      </c>
      <c r="BT64" s="1">
        <v>2.4704000000000002E-7</v>
      </c>
      <c r="BV64" s="11">
        <f t="shared" si="23"/>
        <v>2.0643694268590385</v>
      </c>
    </row>
    <row r="65" spans="1:74" x14ac:dyDescent="0.25">
      <c r="A65" t="s">
        <v>65</v>
      </c>
      <c r="B65" t="s">
        <v>5</v>
      </c>
      <c r="C65" s="1">
        <v>1.32E-3</v>
      </c>
      <c r="D65">
        <v>9.2402989670248218E-9</v>
      </c>
      <c r="F65" t="s">
        <v>65</v>
      </c>
      <c r="G65" t="s">
        <v>6</v>
      </c>
      <c r="H65" s="1">
        <v>1.0200000000000001E-3</v>
      </c>
      <c r="I65">
        <v>7.1423409327754716E-9</v>
      </c>
      <c r="K65" t="s">
        <v>65</v>
      </c>
      <c r="L65" t="s">
        <v>7</v>
      </c>
      <c r="M65" s="1">
        <v>1.0399999999999999E-3</v>
      </c>
      <c r="N65">
        <v>7.2784888541509762E-9</v>
      </c>
      <c r="P65" t="s">
        <v>65</v>
      </c>
      <c r="Q65" t="s">
        <v>446</v>
      </c>
      <c r="R65">
        <v>3.0142000597173371E-9</v>
      </c>
      <c r="T65">
        <f t="shared" si="16"/>
        <v>2.0979580342493502E-9</v>
      </c>
      <c r="V65" s="1">
        <f t="shared" si="17"/>
        <v>1.9618101128738456E-9</v>
      </c>
      <c r="X65">
        <f t="shared" si="7"/>
        <v>6.2260989073074847E-9</v>
      </c>
      <c r="AA65" t="s">
        <v>282</v>
      </c>
      <c r="AB65" t="s">
        <v>224</v>
      </c>
      <c r="AC65">
        <v>350</v>
      </c>
      <c r="AD65" s="1">
        <v>1.2417614905190901E-4</v>
      </c>
      <c r="AE65" s="1">
        <v>-1.6263697500413599E-6</v>
      </c>
      <c r="AF65" s="1">
        <v>1.8749200006093201E-6</v>
      </c>
      <c r="AG65">
        <f t="shared" si="25"/>
        <v>1.2420095167483403E-4</v>
      </c>
      <c r="AI65" t="s">
        <v>282</v>
      </c>
      <c r="AJ65" t="s">
        <v>224</v>
      </c>
      <c r="AK65">
        <v>550</v>
      </c>
      <c r="AL65" s="1">
        <v>4.7343304747769897E-5</v>
      </c>
      <c r="AM65" s="1">
        <v>-6.3616529011745205E-7</v>
      </c>
      <c r="AN65" s="1">
        <v>2.1477702000707699E-6</v>
      </c>
      <c r="AO65">
        <f t="shared" si="26"/>
        <v>4.7396267021242023E-5</v>
      </c>
      <c r="AQ65" t="s">
        <v>282</v>
      </c>
      <c r="AR65" t="s">
        <v>224</v>
      </c>
      <c r="AS65">
        <v>600</v>
      </c>
      <c r="AT65" s="1">
        <v>4.1294695720988599E-5</v>
      </c>
      <c r="AU65" s="1">
        <v>-2.31925137017866E-6</v>
      </c>
      <c r="AV65" s="1">
        <v>1.27149180015807E-6</v>
      </c>
      <c r="AW65">
        <f t="shared" si="24"/>
        <v>4.1379312621223896E-5</v>
      </c>
      <c r="AY65" t="s">
        <v>282</v>
      </c>
      <c r="AZ65" t="s">
        <v>224</v>
      </c>
      <c r="BA65">
        <v>800</v>
      </c>
      <c r="BB65">
        <v>1.6220420846512421E-5</v>
      </c>
      <c r="BD65">
        <f t="shared" si="21"/>
        <v>7.6804684653592004E-5</v>
      </c>
      <c r="BF65">
        <f t="shared" si="22"/>
        <v>8.2821639053610131E-5</v>
      </c>
      <c r="BH65">
        <f t="shared" si="12"/>
        <v>1.079805308283216E-4</v>
      </c>
      <c r="BJ65">
        <f t="shared" si="13"/>
        <v>2.7315495711123041E-2</v>
      </c>
      <c r="BL65" s="1">
        <f t="shared" si="14"/>
        <v>2.3687168417470865E-2</v>
      </c>
      <c r="BN65">
        <f t="shared" si="15"/>
        <v>5.7659458233321415E-2</v>
      </c>
      <c r="BP65">
        <v>3.6892918628614324</v>
      </c>
      <c r="BQ65" s="4">
        <v>76.600454545454539</v>
      </c>
      <c r="BR65">
        <v>10.11</v>
      </c>
      <c r="BT65" s="1">
        <v>2.4581E-7</v>
      </c>
      <c r="BV65" s="11">
        <f t="shared" si="23"/>
        <v>3.7182220371587338</v>
      </c>
    </row>
    <row r="66" spans="1:74" x14ac:dyDescent="0.25">
      <c r="A66" t="s">
        <v>66</v>
      </c>
      <c r="B66" t="s">
        <v>5</v>
      </c>
      <c r="C66" s="1">
        <v>1.6299999999999999E-3</v>
      </c>
      <c r="D66">
        <v>9.7750933499378926E-9</v>
      </c>
      <c r="F66" t="s">
        <v>66</v>
      </c>
      <c r="G66" t="s">
        <v>6</v>
      </c>
      <c r="H66" s="1">
        <v>1.57E-3</v>
      </c>
      <c r="I66">
        <v>9.4233555594596981E-9</v>
      </c>
      <c r="K66" t="s">
        <v>66</v>
      </c>
      <c r="L66" t="s">
        <v>7</v>
      </c>
      <c r="M66" s="1">
        <v>1.5100000000000001E-3</v>
      </c>
      <c r="N66">
        <v>9.0612672402926079E-9</v>
      </c>
      <c r="P66" t="s">
        <v>66</v>
      </c>
      <c r="Q66" t="s">
        <v>446</v>
      </c>
      <c r="R66">
        <v>6.120688686741059E-9</v>
      </c>
      <c r="T66">
        <f t="shared" si="16"/>
        <v>3.517377904781945E-10</v>
      </c>
      <c r="V66" s="1">
        <f t="shared" si="17"/>
        <v>7.1382610964528473E-10</v>
      </c>
      <c r="X66">
        <f t="shared" si="7"/>
        <v>3.6544046631968336E-9</v>
      </c>
      <c r="AA66" t="s">
        <v>283</v>
      </c>
      <c r="AB66" t="s">
        <v>224</v>
      </c>
      <c r="AC66">
        <v>350</v>
      </c>
      <c r="AD66" s="1">
        <v>1.26822528827197E-4</v>
      </c>
      <c r="AE66" s="1">
        <v>4.5849194991728703E-7</v>
      </c>
      <c r="AF66" s="1">
        <v>1.93018080059369E-6</v>
      </c>
      <c r="AG66">
        <f t="shared" si="25"/>
        <v>1.2683804488762955E-4</v>
      </c>
      <c r="AI66" t="s">
        <v>283</v>
      </c>
      <c r="AJ66" t="s">
        <v>224</v>
      </c>
      <c r="AK66">
        <v>550</v>
      </c>
      <c r="AL66" s="1">
        <v>4.9801286023669498E-5</v>
      </c>
      <c r="AM66" s="1">
        <v>-3.13308998511173E-9</v>
      </c>
      <c r="AN66" s="1">
        <v>1.86332510007077E-6</v>
      </c>
      <c r="AO66">
        <f t="shared" si="26"/>
        <v>4.9836132272239442E-5</v>
      </c>
      <c r="AQ66" t="s">
        <v>283</v>
      </c>
      <c r="AR66" t="s">
        <v>224</v>
      </c>
      <c r="AS66">
        <v>600</v>
      </c>
      <c r="AT66" s="1">
        <v>4.2816079951281101E-5</v>
      </c>
      <c r="AU66" s="1">
        <v>5.3020763991894201E-7</v>
      </c>
      <c r="AV66" s="1">
        <v>1.59220179990534E-6</v>
      </c>
      <c r="AW66">
        <f t="shared" si="24"/>
        <v>4.2848954819313222E-5</v>
      </c>
      <c r="AY66" t="s">
        <v>283</v>
      </c>
      <c r="AZ66" t="s">
        <v>224</v>
      </c>
      <c r="BA66">
        <v>800</v>
      </c>
      <c r="BB66">
        <v>1.8695816097053627E-5</v>
      </c>
      <c r="BD66">
        <f t="shared" si="21"/>
        <v>7.7001912615390109E-5</v>
      </c>
      <c r="BF66">
        <f t="shared" si="22"/>
        <v>8.3989090068316329E-5</v>
      </c>
      <c r="BH66">
        <f t="shared" si="12"/>
        <v>1.0814222879057593E-4</v>
      </c>
      <c r="BJ66">
        <f t="shared" si="13"/>
        <v>4.5679097899172681E-3</v>
      </c>
      <c r="BL66" s="1">
        <f t="shared" si="14"/>
        <v>8.4990337324128886E-3</v>
      </c>
      <c r="BN66">
        <f t="shared" si="15"/>
        <v>3.3792577645813206E-2</v>
      </c>
      <c r="BP66">
        <v>4.0377945315352708</v>
      </c>
      <c r="BQ66" s="4">
        <v>76.62090909090908</v>
      </c>
      <c r="BR66">
        <v>10.43</v>
      </c>
      <c r="BT66" s="1">
        <v>2.4727000000000002E-7</v>
      </c>
      <c r="BV66" s="11">
        <f t="shared" si="23"/>
        <v>3.7902266091599039</v>
      </c>
    </row>
    <row r="67" spans="1:74" x14ac:dyDescent="0.25">
      <c r="A67" t="s">
        <v>67</v>
      </c>
      <c r="B67" t="s">
        <v>5</v>
      </c>
      <c r="C67" s="1">
        <v>2.0799999999999998E-3</v>
      </c>
      <c r="D67">
        <v>1.2462567953676321E-8</v>
      </c>
      <c r="F67" t="s">
        <v>67</v>
      </c>
      <c r="G67" t="s">
        <v>6</v>
      </c>
      <c r="H67" s="1">
        <v>1.6199999999999999E-3</v>
      </c>
      <c r="I67">
        <v>9.7195755565765324E-9</v>
      </c>
      <c r="K67" t="s">
        <v>67</v>
      </c>
      <c r="L67" t="s">
        <v>7</v>
      </c>
      <c r="M67" s="1">
        <v>1.48E-3</v>
      </c>
      <c r="N67">
        <v>8.8806795348103846E-9</v>
      </c>
      <c r="P67" t="s">
        <v>67</v>
      </c>
      <c r="Q67" t="s">
        <v>446</v>
      </c>
      <c r="R67">
        <v>6.416522188849657E-9</v>
      </c>
      <c r="T67">
        <f t="shared" si="16"/>
        <v>2.7429923970997883E-9</v>
      </c>
      <c r="V67" s="1">
        <f t="shared" si="17"/>
        <v>3.5818884188659361E-9</v>
      </c>
      <c r="X67">
        <f t="shared" si="7"/>
        <v>6.0460457648266638E-9</v>
      </c>
      <c r="AA67" t="s">
        <v>284</v>
      </c>
      <c r="AB67" t="s">
        <v>224</v>
      </c>
      <c r="AC67">
        <v>350</v>
      </c>
      <c r="AD67" s="1">
        <v>1.3245387500152001E-4</v>
      </c>
      <c r="AE67" s="1">
        <v>1.60500552990405E-6</v>
      </c>
      <c r="AF67" s="1">
        <v>1.2236319998621499E-6</v>
      </c>
      <c r="AG67">
        <f t="shared" si="25"/>
        <v>1.3246925047323397E-4</v>
      </c>
      <c r="AI67" t="s">
        <v>284</v>
      </c>
      <c r="AJ67" t="s">
        <v>224</v>
      </c>
      <c r="AK67">
        <v>550</v>
      </c>
      <c r="AL67" s="1">
        <v>4.8955748229243403E-5</v>
      </c>
      <c r="AM67" s="1">
        <v>4.9900008987758502E-7</v>
      </c>
      <c r="AN67" s="1">
        <v>1.0735150504043701E-6</v>
      </c>
      <c r="AO67">
        <f t="shared" si="26"/>
        <v>4.8970059427554417E-5</v>
      </c>
      <c r="AQ67" t="s">
        <v>284</v>
      </c>
      <c r="AR67" t="s">
        <v>224</v>
      </c>
      <c r="AS67">
        <v>600</v>
      </c>
      <c r="AT67" s="1">
        <v>4.1763038453322103E-5</v>
      </c>
      <c r="AU67" s="1">
        <v>2.5711073991066999E-7</v>
      </c>
      <c r="AV67" s="1">
        <v>1.5630912004870901E-6</v>
      </c>
      <c r="AW67">
        <f t="shared" si="24"/>
        <v>4.1793070488865475E-5</v>
      </c>
      <c r="AY67" t="s">
        <v>284</v>
      </c>
      <c r="AZ67" t="s">
        <v>224</v>
      </c>
      <c r="BA67">
        <v>800</v>
      </c>
      <c r="BB67">
        <v>1.711147943413831E-5</v>
      </c>
      <c r="BD67">
        <f t="shared" si="21"/>
        <v>8.3499191045679556E-5</v>
      </c>
      <c r="BF67">
        <f t="shared" si="22"/>
        <v>9.0676179984368498E-5</v>
      </c>
      <c r="BH67">
        <f t="shared" si="12"/>
        <v>1.1535777103909566E-4</v>
      </c>
      <c r="BJ67">
        <f t="shared" si="13"/>
        <v>3.2850526606888808E-2</v>
      </c>
      <c r="BL67" s="1">
        <f t="shared" si="14"/>
        <v>3.950197747063685E-2</v>
      </c>
      <c r="BN67">
        <f t="shared" si="15"/>
        <v>5.2411256826188253E-2</v>
      </c>
      <c r="BP67">
        <v>4.9743830401195881</v>
      </c>
      <c r="BQ67" s="4">
        <v>76.641363636363621</v>
      </c>
      <c r="BR67">
        <v>10.38</v>
      </c>
      <c r="BT67" s="1">
        <v>2.4718999999999998E-7</v>
      </c>
      <c r="BV67" s="11">
        <f t="shared" si="23"/>
        <v>4.8571250893477451</v>
      </c>
    </row>
    <row r="68" spans="1:74" x14ac:dyDescent="0.25">
      <c r="A68" t="s">
        <v>68</v>
      </c>
      <c r="B68" t="s">
        <v>5</v>
      </c>
      <c r="C68" s="1">
        <v>1.42E-3</v>
      </c>
      <c r="D68">
        <v>9.9410947083306682E-9</v>
      </c>
      <c r="F68" t="s">
        <v>68</v>
      </c>
      <c r="G68" t="s">
        <v>6</v>
      </c>
      <c r="H68" s="1">
        <v>1.1999999999999999E-3</v>
      </c>
      <c r="I68">
        <v>8.3970671070320731E-9</v>
      </c>
      <c r="K68" t="s">
        <v>68</v>
      </c>
      <c r="L68" t="s">
        <v>7</v>
      </c>
      <c r="M68" s="1">
        <v>1.1000000000000001E-3</v>
      </c>
      <c r="N68">
        <v>7.7017660312424446E-9</v>
      </c>
      <c r="P68" t="s">
        <v>68</v>
      </c>
      <c r="Q68" t="s">
        <v>446</v>
      </c>
      <c r="R68">
        <v>5.3082829615611108E-9</v>
      </c>
      <c r="T68">
        <f t="shared" si="16"/>
        <v>1.5440276012985951E-9</v>
      </c>
      <c r="V68" s="1">
        <f t="shared" si="17"/>
        <v>2.2393286770882236E-9</v>
      </c>
      <c r="X68">
        <f t="shared" si="7"/>
        <v>4.6328117467695574E-9</v>
      </c>
      <c r="AA68" t="s">
        <v>285</v>
      </c>
      <c r="AB68" t="s">
        <v>224</v>
      </c>
      <c r="AC68">
        <v>350</v>
      </c>
      <c r="AD68" s="1">
        <v>1.2182983590424901E-4</v>
      </c>
      <c r="AE68" s="1">
        <v>2.9885731399023998E-6</v>
      </c>
      <c r="AF68" s="1">
        <v>1.4040930504328599E-6</v>
      </c>
      <c r="AG68">
        <f t="shared" si="25"/>
        <v>1.2187457471992697E-4</v>
      </c>
      <c r="AI68" t="s">
        <v>285</v>
      </c>
      <c r="AJ68" t="s">
        <v>224</v>
      </c>
      <c r="AK68">
        <v>550</v>
      </c>
      <c r="AL68" s="1">
        <v>4.5963130951431299E-5</v>
      </c>
      <c r="AM68" s="1">
        <v>8.1413466993052196E-7</v>
      </c>
      <c r="AN68" s="1">
        <v>-1.00850960013602E-6</v>
      </c>
      <c r="AO68">
        <f t="shared" si="26"/>
        <v>4.5981401824354713E-5</v>
      </c>
      <c r="AQ68" t="s">
        <v>285</v>
      </c>
      <c r="AR68" t="s">
        <v>224</v>
      </c>
      <c r="AS68">
        <v>600</v>
      </c>
      <c r="AT68" s="1">
        <v>3.9308418301870298E-5</v>
      </c>
      <c r="AU68" s="1">
        <v>2.4266645498759299E-6</v>
      </c>
      <c r="AV68" s="1">
        <v>4.8784924982078895E-7</v>
      </c>
      <c r="AW68">
        <f t="shared" si="24"/>
        <v>3.9386272318194658E-5</v>
      </c>
      <c r="AY68" t="s">
        <v>285</v>
      </c>
      <c r="AZ68" t="s">
        <v>224</v>
      </c>
      <c r="BA68">
        <v>800</v>
      </c>
      <c r="BB68">
        <v>1.6408477561041516E-5</v>
      </c>
      <c r="BD68">
        <f t="shared" si="21"/>
        <v>7.5893172895572262E-5</v>
      </c>
      <c r="BF68">
        <f t="shared" si="22"/>
        <v>8.2488302401732317E-5</v>
      </c>
      <c r="BH68">
        <f t="shared" si="12"/>
        <v>1.0546609715888545E-4</v>
      </c>
      <c r="BJ68">
        <f t="shared" si="13"/>
        <v>2.0344749631474118E-2</v>
      </c>
      <c r="BL68" s="1">
        <f t="shared" si="14"/>
        <v>2.7147227084178618E-2</v>
      </c>
      <c r="BN68">
        <f t="shared" si="15"/>
        <v>4.3927023674633491E-2</v>
      </c>
      <c r="BP68">
        <v>4.5081404298539374</v>
      </c>
      <c r="BQ68" s="4">
        <v>76.661818181818163</v>
      </c>
      <c r="BR68">
        <v>10</v>
      </c>
      <c r="BT68" s="1">
        <v>2.4530000000000001E-7</v>
      </c>
      <c r="BV68" s="11">
        <f t="shared" si="23"/>
        <v>4.0526272761233866</v>
      </c>
    </row>
    <row r="69" spans="1:74" x14ac:dyDescent="0.25">
      <c r="A69" t="s">
        <v>69</v>
      </c>
      <c r="B69" t="s">
        <v>5</v>
      </c>
      <c r="C69" s="1">
        <v>7.0500000000000001E-4</v>
      </c>
      <c r="D69">
        <v>4.9354335169263496E-9</v>
      </c>
      <c r="F69" t="s">
        <v>69</v>
      </c>
      <c r="G69" t="s">
        <v>6</v>
      </c>
      <c r="H69" s="1">
        <v>5.44E-4</v>
      </c>
      <c r="I69">
        <v>3.8035353291378801E-9</v>
      </c>
      <c r="K69" t="s">
        <v>69</v>
      </c>
      <c r="L69" t="s">
        <v>7</v>
      </c>
      <c r="M69" s="1">
        <v>7.4700000000000005E-4</v>
      </c>
      <c r="N69">
        <v>5.2294592454669725E-9</v>
      </c>
      <c r="P69" t="s">
        <v>69</v>
      </c>
      <c r="Q69" t="s">
        <v>446</v>
      </c>
      <c r="R69">
        <v>3.7440681083548688E-9</v>
      </c>
      <c r="T69">
        <f t="shared" si="16"/>
        <v>1.1318981877884696E-9</v>
      </c>
      <c r="V69" s="1">
        <f t="shared" si="17"/>
        <v>-2.940257285406229E-10</v>
      </c>
      <c r="X69">
        <f t="shared" si="7"/>
        <v>1.1913654085714808E-9</v>
      </c>
      <c r="AA69" t="s">
        <v>286</v>
      </c>
      <c r="AB69" t="s">
        <v>224</v>
      </c>
      <c r="AC69">
        <v>350</v>
      </c>
      <c r="AD69" s="1">
        <v>1.16732993124512E-4</v>
      </c>
      <c r="AE69" s="1">
        <v>-1.3163171902167101E-6</v>
      </c>
      <c r="AF69" s="1">
        <v>2.6277250499163702E-6</v>
      </c>
      <c r="AG69">
        <f t="shared" si="25"/>
        <v>1.1676998464370277E-4</v>
      </c>
      <c r="AI69" t="s">
        <v>286</v>
      </c>
      <c r="AJ69" t="s">
        <v>224</v>
      </c>
      <c r="AK69">
        <v>550</v>
      </c>
      <c r="AL69" s="1">
        <v>4.5738733278843998E-5</v>
      </c>
      <c r="AM69" s="1">
        <v>1.2739094599239E-6</v>
      </c>
      <c r="AN69" s="1">
        <v>1.0848632504779001E-6</v>
      </c>
      <c r="AO69">
        <f t="shared" si="26"/>
        <v>4.5769329201306333E-5</v>
      </c>
      <c r="AQ69" t="s">
        <v>286</v>
      </c>
      <c r="AR69" t="s">
        <v>224</v>
      </c>
      <c r="AS69">
        <v>600</v>
      </c>
      <c r="AT69" s="1">
        <v>3.6374974029178102E-5</v>
      </c>
      <c r="AU69" s="1">
        <v>5.4658851993052101E-7</v>
      </c>
      <c r="AV69" s="1">
        <v>1.29603845046687E-6</v>
      </c>
      <c r="AW69">
        <f t="shared" si="24"/>
        <v>3.6402159418070102E-5</v>
      </c>
      <c r="AY69" t="s">
        <v>286</v>
      </c>
      <c r="AZ69" t="s">
        <v>224</v>
      </c>
      <c r="BA69">
        <v>800</v>
      </c>
      <c r="BB69">
        <v>1.6754545759457625E-5</v>
      </c>
      <c r="BD69">
        <f t="shared" si="21"/>
        <v>7.1000655442396448E-5</v>
      </c>
      <c r="BF69">
        <f t="shared" si="22"/>
        <v>8.0367825225632672E-5</v>
      </c>
      <c r="BH69">
        <f t="shared" si="12"/>
        <v>1.0001543888424515E-4</v>
      </c>
      <c r="BJ69">
        <f t="shared" si="13"/>
        <v>1.5942080826377582E-2</v>
      </c>
      <c r="BL69" s="1">
        <f t="shared" si="14"/>
        <v>-3.6585004971223952E-3</v>
      </c>
      <c r="BN69">
        <f t="shared" si="15"/>
        <v>1.1911815034380154E-2</v>
      </c>
      <c r="BP69">
        <v>1.8302646179879984</v>
      </c>
      <c r="BQ69" s="4">
        <v>76.682272727272704</v>
      </c>
      <c r="BR69">
        <v>9.93</v>
      </c>
      <c r="BT69" s="1">
        <v>2.4392999999999999E-7</v>
      </c>
      <c r="BV69" s="11">
        <f t="shared" si="23"/>
        <v>2.0375620434445825</v>
      </c>
    </row>
    <row r="70" spans="1:74" x14ac:dyDescent="0.25">
      <c r="A70" t="s">
        <v>70</v>
      </c>
      <c r="B70" t="s">
        <v>5</v>
      </c>
      <c r="C70" s="1">
        <v>5.8299999999999997E-4</v>
      </c>
      <c r="D70">
        <v>4.0808570506818783E-9</v>
      </c>
      <c r="F70" t="s">
        <v>70</v>
      </c>
      <c r="G70" t="s">
        <v>6</v>
      </c>
      <c r="H70" s="1">
        <v>2.8200000000000002E-4</v>
      </c>
      <c r="I70">
        <v>1.9702872886967525E-9</v>
      </c>
      <c r="K70" t="s">
        <v>70</v>
      </c>
      <c r="L70" t="s">
        <v>7</v>
      </c>
      <c r="M70" s="1">
        <v>2.2599999999999999E-4</v>
      </c>
      <c r="N70">
        <v>1.5867013235010552E-9</v>
      </c>
      <c r="P70" t="s">
        <v>70</v>
      </c>
      <c r="Q70" t="s">
        <v>446</v>
      </c>
      <c r="R70">
        <v>1.4371489136481298E-9</v>
      </c>
      <c r="T70">
        <f t="shared" si="16"/>
        <v>2.1105697619851258E-9</v>
      </c>
      <c r="V70" s="1">
        <f t="shared" si="17"/>
        <v>2.4941557271808231E-9</v>
      </c>
      <c r="X70">
        <f t="shared" si="7"/>
        <v>2.6437081370337487E-9</v>
      </c>
      <c r="AA70" t="s">
        <v>287</v>
      </c>
      <c r="AB70" t="s">
        <v>224</v>
      </c>
      <c r="AC70">
        <v>350</v>
      </c>
      <c r="AD70" s="1">
        <v>1.17598520601109E-4</v>
      </c>
      <c r="AE70" s="1">
        <v>-1.6072505000496301E-6</v>
      </c>
      <c r="AF70" s="1">
        <v>9.9309084990074502E-7</v>
      </c>
      <c r="AG70">
        <f t="shared" si="25"/>
        <v>1.1761369618873273E-4</v>
      </c>
      <c r="AI70" t="s">
        <v>287</v>
      </c>
      <c r="AJ70" t="s">
        <v>224</v>
      </c>
      <c r="AK70">
        <v>550</v>
      </c>
      <c r="AL70" s="1">
        <v>4.5129755045502298E-5</v>
      </c>
      <c r="AM70" s="1">
        <v>-1.5381498302266301E-6</v>
      </c>
      <c r="AN70" s="1">
        <v>4.4208640017921102E-7</v>
      </c>
      <c r="AO70">
        <f t="shared" si="26"/>
        <v>4.515812369610245E-5</v>
      </c>
      <c r="AQ70" t="s">
        <v>287</v>
      </c>
      <c r="AR70" t="s">
        <v>224</v>
      </c>
      <c r="AS70">
        <v>600</v>
      </c>
      <c r="AT70" s="1">
        <v>3.6671723788290202E-5</v>
      </c>
      <c r="AU70" s="1">
        <v>-2.5452285701042201E-6</v>
      </c>
      <c r="AV70" s="1">
        <v>-1.5189318996186E-6</v>
      </c>
      <c r="AW70">
        <f t="shared" si="24"/>
        <v>3.679131240108734E-5</v>
      </c>
      <c r="AY70" t="s">
        <v>287</v>
      </c>
      <c r="AZ70" t="s">
        <v>224</v>
      </c>
      <c r="BA70">
        <v>800</v>
      </c>
      <c r="BB70">
        <v>1.6540906665938902E-5</v>
      </c>
      <c r="BD70">
        <f t="shared" si="21"/>
        <v>7.2455572492630284E-5</v>
      </c>
      <c r="BF70">
        <f t="shared" si="22"/>
        <v>8.0822383787645388E-5</v>
      </c>
      <c r="BH70">
        <f t="shared" si="12"/>
        <v>1.0107278952279383E-4</v>
      </c>
      <c r="BJ70">
        <f t="shared" si="13"/>
        <v>2.9129157211473269E-2</v>
      </c>
      <c r="BL70" s="1">
        <f t="shared" si="14"/>
        <v>3.0859714973688796E-2</v>
      </c>
      <c r="BN70">
        <f t="shared" si="15"/>
        <v>2.6156477421032713E-2</v>
      </c>
      <c r="BP70">
        <v>1.9300749893596993</v>
      </c>
      <c r="BQ70" s="6">
        <v>76.702727272727245</v>
      </c>
      <c r="BR70">
        <v>9.73</v>
      </c>
      <c r="BT70" s="1">
        <v>2.4284000000000002E-7</v>
      </c>
      <c r="BV70" s="11">
        <f t="shared" si="23"/>
        <v>1.72710331422543</v>
      </c>
    </row>
    <row r="71" spans="1:74" x14ac:dyDescent="0.25">
      <c r="A71" t="s">
        <v>71</v>
      </c>
      <c r="B71" t="s">
        <v>5</v>
      </c>
      <c r="C71" s="1">
        <v>4.5100000000000001E-4</v>
      </c>
      <c r="D71">
        <v>3.1603480820947558E-9</v>
      </c>
      <c r="F71" t="s">
        <v>71</v>
      </c>
      <c r="G71" t="s">
        <v>6</v>
      </c>
      <c r="H71" s="1">
        <v>2.5599999999999999E-4</v>
      </c>
      <c r="I71">
        <v>1.7945074533141399E-9</v>
      </c>
      <c r="K71" t="s">
        <v>71</v>
      </c>
      <c r="L71" t="s">
        <v>7</v>
      </c>
      <c r="M71" s="1">
        <v>8.0400000000000003E-5</v>
      </c>
      <c r="N71">
        <v>5.6286588100541321E-10</v>
      </c>
      <c r="P71" t="s">
        <v>71</v>
      </c>
      <c r="Q71" t="s">
        <v>446</v>
      </c>
      <c r="R71">
        <v>1.6499090884045702E-9</v>
      </c>
      <c r="T71">
        <f t="shared" si="16"/>
        <v>1.3658406287806159E-9</v>
      </c>
      <c r="V71" s="1">
        <f t="shared" si="17"/>
        <v>2.5974822010893426E-9</v>
      </c>
      <c r="X71">
        <f t="shared" ref="X71:X134" si="27">D71-R71</f>
        <v>1.5104389936901855E-9</v>
      </c>
      <c r="AA71" t="s">
        <v>288</v>
      </c>
      <c r="AB71" t="s">
        <v>224</v>
      </c>
      <c r="AC71">
        <v>350</v>
      </c>
      <c r="AD71" s="1">
        <v>1.22057285074044E-4</v>
      </c>
      <c r="AE71" s="1">
        <v>-4.8197778995202703E-7</v>
      </c>
      <c r="AF71" s="1">
        <v>5.2830805076187497E-7</v>
      </c>
      <c r="AG71">
        <f t="shared" si="25"/>
        <v>1.2205938002313855E-4</v>
      </c>
      <c r="AI71" t="s">
        <v>288</v>
      </c>
      <c r="AJ71" t="s">
        <v>224</v>
      </c>
      <c r="AK71">
        <v>550</v>
      </c>
      <c r="AL71" s="1">
        <v>4.6525540252197199E-5</v>
      </c>
      <c r="AM71" s="1">
        <v>-1.2278752397204301E-6</v>
      </c>
      <c r="AN71" s="1">
        <v>-4.2568084936862699E-7</v>
      </c>
      <c r="AO71">
        <f t="shared" si="26"/>
        <v>4.6543686763605861E-5</v>
      </c>
      <c r="AQ71" t="s">
        <v>288</v>
      </c>
      <c r="AR71" t="s">
        <v>224</v>
      </c>
      <c r="AS71">
        <v>600</v>
      </c>
      <c r="AT71" s="1">
        <v>3.8764185446358299E-5</v>
      </c>
      <c r="AU71" s="1">
        <v>-8.8797197992886703E-7</v>
      </c>
      <c r="AV71" s="1">
        <v>-3.56111449765648E-7</v>
      </c>
      <c r="AW71">
        <f t="shared" ref="AW71:AW102" si="28">SQRT(AT71^2+AU71^2+AV71^2)</f>
        <v>3.8775989773588624E-5</v>
      </c>
      <c r="AY71" t="s">
        <v>288</v>
      </c>
      <c r="AZ71" t="s">
        <v>224</v>
      </c>
      <c r="BA71">
        <v>800</v>
      </c>
      <c r="BB71">
        <v>1.777508824657827E-5</v>
      </c>
      <c r="BD71">
        <f t="shared" si="21"/>
        <v>7.5515693259532691E-5</v>
      </c>
      <c r="BF71">
        <f t="shared" si="22"/>
        <v>8.3283390249549929E-5</v>
      </c>
      <c r="BH71">
        <f t="shared" ref="BH71:BH134" si="29">AG71-BB71</f>
        <v>1.0428429177656028E-4</v>
      </c>
      <c r="BJ71">
        <f t="shared" ref="BJ71:BJ134" si="30">T71*1000/BD71</f>
        <v>1.8086844863974015E-2</v>
      </c>
      <c r="BL71" s="1">
        <f t="shared" ref="BL71:BL134" si="31">V71*1000/BF71</f>
        <v>3.1188478198429005E-2</v>
      </c>
      <c r="BN71">
        <f t="shared" ref="BN71:BN134" si="32">X71*1000/BH71</f>
        <v>1.4483859150392997E-2</v>
      </c>
      <c r="BP71">
        <v>1.183725988972264</v>
      </c>
      <c r="BQ71" s="4">
        <v>76.723181818181786</v>
      </c>
      <c r="BR71">
        <v>10.31</v>
      </c>
      <c r="BT71" s="1">
        <v>2.3743999999999999E-7</v>
      </c>
      <c r="BV71" s="11">
        <f t="shared" ref="BV71:BV134" si="33">D71*1000/BR71/BT71</f>
        <v>1.2909884884674956</v>
      </c>
    </row>
    <row r="72" spans="1:74" x14ac:dyDescent="0.25">
      <c r="A72" t="s">
        <v>72</v>
      </c>
      <c r="B72" t="s">
        <v>5</v>
      </c>
      <c r="C72" s="1">
        <v>9.8799999999999995E-4</v>
      </c>
      <c r="D72">
        <v>5.9244155829921317E-9</v>
      </c>
      <c r="F72" t="s">
        <v>72</v>
      </c>
      <c r="G72" t="s">
        <v>6</v>
      </c>
      <c r="H72" s="1">
        <v>3.7500000000000001E-4</v>
      </c>
      <c r="I72">
        <v>2.2470178014426142E-9</v>
      </c>
      <c r="K72" t="s">
        <v>72</v>
      </c>
      <c r="L72" t="s">
        <v>7</v>
      </c>
      <c r="M72" s="1">
        <v>6.4400000000000004E-4</v>
      </c>
      <c r="N72">
        <v>3.8606151064305802E-9</v>
      </c>
      <c r="P72" t="s">
        <v>72</v>
      </c>
      <c r="Q72" t="s">
        <v>446</v>
      </c>
      <c r="R72">
        <v>4.523497430086592E-9</v>
      </c>
      <c r="T72">
        <f t="shared" ref="T72:T135" si="34">D72-I72</f>
        <v>3.6773977815495175E-9</v>
      </c>
      <c r="V72" s="1">
        <f t="shared" ref="V72:V135" si="35">D72-N72</f>
        <v>2.0638004765615516E-9</v>
      </c>
      <c r="X72">
        <f t="shared" si="27"/>
        <v>1.4009181529055397E-9</v>
      </c>
      <c r="AA72" t="s">
        <v>289</v>
      </c>
      <c r="AB72" t="s">
        <v>224</v>
      </c>
      <c r="AC72">
        <v>350</v>
      </c>
      <c r="AD72" s="1">
        <v>1.29981741722819E-4</v>
      </c>
      <c r="AE72" s="1">
        <v>-2.1838130700215099E-6</v>
      </c>
      <c r="AF72" s="1">
        <v>2.30923535010385E-6</v>
      </c>
      <c r="AG72">
        <f t="shared" si="25"/>
        <v>1.3002059371009113E-4</v>
      </c>
      <c r="AI72" t="s">
        <v>289</v>
      </c>
      <c r="AJ72" t="s">
        <v>224</v>
      </c>
      <c r="AK72">
        <v>550</v>
      </c>
      <c r="AL72" s="1">
        <v>4.9716329775753901E-5</v>
      </c>
      <c r="AM72" s="1">
        <v>-2.9625709599735301E-6</v>
      </c>
      <c r="AN72" s="1">
        <v>3.7227030070397598E-7</v>
      </c>
      <c r="AO72">
        <f t="shared" si="26"/>
        <v>4.9805911880430203E-5</v>
      </c>
      <c r="AQ72" t="s">
        <v>289</v>
      </c>
      <c r="AR72" t="s">
        <v>224</v>
      </c>
      <c r="AS72">
        <v>600</v>
      </c>
      <c r="AT72" s="1">
        <v>4.19207890255463E-5</v>
      </c>
      <c r="AU72" s="1">
        <v>-2.8492863200049601E-6</v>
      </c>
      <c r="AV72" s="1">
        <v>-1.6282199262019601E-8</v>
      </c>
      <c r="AW72">
        <f t="shared" si="28"/>
        <v>4.201751123243431E-5</v>
      </c>
      <c r="AY72" t="s">
        <v>289</v>
      </c>
      <c r="AZ72" t="s">
        <v>224</v>
      </c>
      <c r="BA72">
        <v>800</v>
      </c>
      <c r="BB72">
        <v>1.7988444817663953E-5</v>
      </c>
      <c r="BD72">
        <f t="shared" ref="BD72:BD135" si="36">AG72-AO72</f>
        <v>8.0214681829660929E-5</v>
      </c>
      <c r="BF72">
        <f t="shared" ref="BF72:BF135" si="37">AG72-AW72</f>
        <v>8.8003082477656829E-5</v>
      </c>
      <c r="BH72">
        <f t="shared" si="29"/>
        <v>1.1203214889242718E-4</v>
      </c>
      <c r="BJ72">
        <f t="shared" si="30"/>
        <v>4.5844447645614524E-2</v>
      </c>
      <c r="BL72" s="1">
        <f t="shared" si="31"/>
        <v>2.3451456681480805E-2</v>
      </c>
      <c r="BN72">
        <f t="shared" si="32"/>
        <v>1.2504608424950374E-2</v>
      </c>
      <c r="BP72">
        <v>2.3135941248066905</v>
      </c>
      <c r="BQ72" s="4">
        <v>76.743636363636327</v>
      </c>
      <c r="BR72">
        <v>10.69</v>
      </c>
      <c r="BT72" s="1">
        <v>2.3976000000000002E-7</v>
      </c>
      <c r="BV72" s="11">
        <f t="shared" si="33"/>
        <v>2.311485005036269</v>
      </c>
    </row>
    <row r="73" spans="1:74" x14ac:dyDescent="0.25">
      <c r="A73" t="s">
        <v>73</v>
      </c>
      <c r="B73" t="s">
        <v>5</v>
      </c>
      <c r="C73" s="1">
        <v>1.08E-3</v>
      </c>
      <c r="D73">
        <v>6.4760327361742088E-9</v>
      </c>
      <c r="F73" t="s">
        <v>73</v>
      </c>
      <c r="G73" t="s">
        <v>6</v>
      </c>
      <c r="H73" s="1">
        <v>4.5199999999999998E-4</v>
      </c>
      <c r="I73">
        <v>2.7139766026994414E-9</v>
      </c>
      <c r="K73" t="s">
        <v>73</v>
      </c>
      <c r="L73" t="s">
        <v>7</v>
      </c>
      <c r="M73" s="1">
        <v>5.2700000000000002E-4</v>
      </c>
      <c r="N73">
        <v>3.1596360549911442E-9</v>
      </c>
      <c r="P73" t="s">
        <v>73</v>
      </c>
      <c r="Q73" t="s">
        <v>446</v>
      </c>
      <c r="R73">
        <v>2.3959248736135279E-9</v>
      </c>
      <c r="T73">
        <f t="shared" si="34"/>
        <v>3.7620561334747674E-9</v>
      </c>
      <c r="V73" s="1">
        <f t="shared" si="35"/>
        <v>3.3163966811830647E-9</v>
      </c>
      <c r="X73">
        <f t="shared" si="27"/>
        <v>4.080107862560681E-9</v>
      </c>
      <c r="AA73" t="s">
        <v>290</v>
      </c>
      <c r="AB73" t="s">
        <v>224</v>
      </c>
      <c r="AC73">
        <v>350</v>
      </c>
      <c r="AD73" s="1">
        <v>1.3181199332506799E-4</v>
      </c>
      <c r="AE73" s="1">
        <v>-2.17290892997849E-6</v>
      </c>
      <c r="AF73" s="1">
        <v>-3.5463124924180098E-7</v>
      </c>
      <c r="AG73">
        <f t="shared" si="25"/>
        <v>1.3183037920323483E-4</v>
      </c>
      <c r="AI73" t="s">
        <v>290</v>
      </c>
      <c r="AJ73" t="s">
        <v>224</v>
      </c>
      <c r="AK73">
        <v>550</v>
      </c>
      <c r="AL73" s="1">
        <v>5.0469791122293497E-5</v>
      </c>
      <c r="AM73" s="1">
        <v>-1.81376307002978E-6</v>
      </c>
      <c r="AN73" s="1">
        <v>-6.4006314987133598E-7</v>
      </c>
      <c r="AO73">
        <f t="shared" si="26"/>
        <v>5.0506427642805649E-5</v>
      </c>
      <c r="AQ73" t="s">
        <v>290</v>
      </c>
      <c r="AR73" t="s">
        <v>224</v>
      </c>
      <c r="AS73">
        <v>600</v>
      </c>
      <c r="AT73" s="1">
        <v>4.1353028496040002E-5</v>
      </c>
      <c r="AU73" s="1">
        <v>-6.3162601001488801E-7</v>
      </c>
      <c r="AV73" s="1">
        <v>-1.6743528997876999E-6</v>
      </c>
      <c r="AW73">
        <f t="shared" si="28"/>
        <v>4.1391730754389235E-5</v>
      </c>
      <c r="AY73" t="s">
        <v>290</v>
      </c>
      <c r="AZ73" t="s">
        <v>224</v>
      </c>
      <c r="BA73">
        <v>800</v>
      </c>
      <c r="BB73">
        <v>1.8596021568064574E-5</v>
      </c>
      <c r="BD73">
        <f t="shared" si="36"/>
        <v>8.1323951560429174E-5</v>
      </c>
      <c r="BF73">
        <f t="shared" si="37"/>
        <v>9.0438648448845594E-5</v>
      </c>
      <c r="BH73">
        <f t="shared" si="29"/>
        <v>1.1323435763517025E-4</v>
      </c>
      <c r="BJ73">
        <f t="shared" si="30"/>
        <v>4.6260124616292239E-2</v>
      </c>
      <c r="BL73" s="1">
        <f t="shared" si="31"/>
        <v>3.667012652294227E-2</v>
      </c>
      <c r="BN73">
        <f t="shared" si="32"/>
        <v>3.603241938022362E-2</v>
      </c>
      <c r="BP73">
        <v>2.494672103622837</v>
      </c>
      <c r="BQ73" s="4">
        <v>76.764090909090868</v>
      </c>
      <c r="BR73">
        <v>11</v>
      </c>
      <c r="BT73" s="1">
        <v>2.3619E-7</v>
      </c>
      <c r="BV73" s="11">
        <f t="shared" si="33"/>
        <v>2.4926129334142426</v>
      </c>
    </row>
    <row r="74" spans="1:74" x14ac:dyDescent="0.25">
      <c r="A74" t="s">
        <v>74</v>
      </c>
      <c r="B74" t="s">
        <v>5</v>
      </c>
      <c r="C74" s="1">
        <v>8.9899999999999995E-4</v>
      </c>
      <c r="D74">
        <v>5.3959707189717031E-9</v>
      </c>
      <c r="F74" t="s">
        <v>74</v>
      </c>
      <c r="G74" t="s">
        <v>6</v>
      </c>
      <c r="H74" s="1">
        <v>9.2699999999999998E-4</v>
      </c>
      <c r="I74">
        <v>5.5647551608314274E-9</v>
      </c>
      <c r="K74" t="s">
        <v>74</v>
      </c>
      <c r="L74" t="s">
        <v>7</v>
      </c>
      <c r="M74" s="1">
        <v>8.9099999999999997E-4</v>
      </c>
      <c r="N74">
        <v>5.3494392229466443E-9</v>
      </c>
      <c r="P74" t="s">
        <v>74</v>
      </c>
      <c r="Q74" t="s">
        <v>446</v>
      </c>
      <c r="R74">
        <v>5.4524306506364664E-9</v>
      </c>
      <c r="T74">
        <f t="shared" si="34"/>
        <v>-1.6878444185972436E-10</v>
      </c>
      <c r="V74" s="1">
        <f t="shared" si="35"/>
        <v>4.6531496025058743E-11</v>
      </c>
      <c r="X74">
        <f t="shared" si="27"/>
        <v>-5.645993166476336E-11</v>
      </c>
      <c r="AA74" t="s">
        <v>291</v>
      </c>
      <c r="AB74" t="s">
        <v>224</v>
      </c>
      <c r="AC74">
        <v>350</v>
      </c>
      <c r="AD74" s="1">
        <v>1.40221730886772E-4</v>
      </c>
      <c r="AE74" s="1">
        <v>-1.40604198011911E-6</v>
      </c>
      <c r="AF74" s="1">
        <v>4.2383060052752302E-7</v>
      </c>
      <c r="AG74">
        <f t="shared" si="25"/>
        <v>1.4022942059108034E-4</v>
      </c>
      <c r="AI74" t="s">
        <v>291</v>
      </c>
      <c r="AJ74" t="s">
        <v>224</v>
      </c>
      <c r="AK74">
        <v>550</v>
      </c>
      <c r="AL74" s="1">
        <v>5.3348263674245501E-5</v>
      </c>
      <c r="AM74" s="1">
        <v>-9.1056969971877702E-8</v>
      </c>
      <c r="AN74" s="1">
        <v>-4.80201549166441E-7</v>
      </c>
      <c r="AO74">
        <f t="shared" si="26"/>
        <v>5.3350502546428038E-5</v>
      </c>
      <c r="AQ74" t="s">
        <v>291</v>
      </c>
      <c r="AR74" t="s">
        <v>224</v>
      </c>
      <c r="AS74">
        <v>600</v>
      </c>
      <c r="AT74" s="1">
        <v>4.4298059674601301E-5</v>
      </c>
      <c r="AU74" s="1">
        <v>-3.9750770999007502E-7</v>
      </c>
      <c r="AV74" s="1">
        <v>-4.8032489920044504E-7</v>
      </c>
      <c r="AW74">
        <f t="shared" si="28"/>
        <v>4.4302447057954157E-5</v>
      </c>
      <c r="AY74" t="s">
        <v>291</v>
      </c>
      <c r="AZ74" t="s">
        <v>224</v>
      </c>
      <c r="BA74">
        <v>800</v>
      </c>
      <c r="BB74">
        <v>2.0466256253538669E-5</v>
      </c>
      <c r="BD74">
        <f t="shared" si="36"/>
        <v>8.6878918044652306E-5</v>
      </c>
      <c r="BF74">
        <f t="shared" si="37"/>
        <v>9.5926973533126187E-5</v>
      </c>
      <c r="BH74">
        <f t="shared" si="29"/>
        <v>1.1976316433754167E-4</v>
      </c>
      <c r="BJ74">
        <f t="shared" si="30"/>
        <v>-1.9427548783811496E-3</v>
      </c>
      <c r="BL74" s="1">
        <f t="shared" si="31"/>
        <v>4.8507207421685366E-4</v>
      </c>
      <c r="BN74">
        <f t="shared" si="32"/>
        <v>-4.7142985889748318E-4</v>
      </c>
      <c r="BP74">
        <v>2.2584533035465113</v>
      </c>
      <c r="BQ74" s="4">
        <v>76.784545454545409</v>
      </c>
      <c r="BR74">
        <v>11.74</v>
      </c>
      <c r="BT74" s="1">
        <v>2.3999999999999998E-7</v>
      </c>
      <c r="BV74" s="11">
        <f t="shared" si="33"/>
        <v>1.9150946617588387</v>
      </c>
    </row>
    <row r="75" spans="1:74" x14ac:dyDescent="0.25">
      <c r="A75" t="s">
        <v>75</v>
      </c>
      <c r="B75" t="s">
        <v>5</v>
      </c>
      <c r="C75" s="1">
        <v>1.16E-3</v>
      </c>
      <c r="D75">
        <v>6.9572623926369204E-9</v>
      </c>
      <c r="F75" t="s">
        <v>75</v>
      </c>
      <c r="G75" t="s">
        <v>6</v>
      </c>
      <c r="H75" s="1">
        <v>7.18E-4</v>
      </c>
      <c r="I75">
        <v>4.3033242964015622E-9</v>
      </c>
      <c r="K75" t="s">
        <v>75</v>
      </c>
      <c r="L75" t="s">
        <v>7</v>
      </c>
      <c r="M75" s="1">
        <v>6.1700000000000004E-4</v>
      </c>
      <c r="N75">
        <v>3.7038208649987383E-9</v>
      </c>
      <c r="P75" t="s">
        <v>75</v>
      </c>
      <c r="Q75" t="s">
        <v>446</v>
      </c>
      <c r="R75">
        <v>3.2775600680994393E-9</v>
      </c>
      <c r="T75">
        <f t="shared" si="34"/>
        <v>2.6539380962353582E-9</v>
      </c>
      <c r="V75" s="1">
        <f t="shared" si="35"/>
        <v>3.2534415276381821E-9</v>
      </c>
      <c r="X75">
        <f t="shared" si="27"/>
        <v>3.6797023245374811E-9</v>
      </c>
      <c r="AA75" t="s">
        <v>292</v>
      </c>
      <c r="AB75" t="s">
        <v>224</v>
      </c>
      <c r="AC75">
        <v>350</v>
      </c>
      <c r="AD75" s="1">
        <v>1.04639622632974E-4</v>
      </c>
      <c r="AE75" s="1">
        <v>-1.0546918398196901E-6</v>
      </c>
      <c r="AF75" s="1">
        <v>1.5089405505596899E-6</v>
      </c>
      <c r="AG75">
        <f t="shared" si="25"/>
        <v>1.0465581637555225E-4</v>
      </c>
      <c r="AI75" t="s">
        <v>292</v>
      </c>
      <c r="AJ75" t="s">
        <v>224</v>
      </c>
      <c r="AK75">
        <v>550</v>
      </c>
      <c r="AL75" s="1">
        <v>3.9623609867977703E-5</v>
      </c>
      <c r="AM75" s="1">
        <v>-1.72467970010753E-6</v>
      </c>
      <c r="AN75" s="1">
        <v>1.02158470037956E-6</v>
      </c>
      <c r="AO75">
        <f t="shared" si="26"/>
        <v>3.9674281522640235E-5</v>
      </c>
      <c r="AQ75" t="s">
        <v>292</v>
      </c>
      <c r="AR75" t="s">
        <v>224</v>
      </c>
      <c r="AS75">
        <v>600</v>
      </c>
      <c r="AT75" s="1">
        <v>3.3537011558588797E-5</v>
      </c>
      <c r="AU75" s="1">
        <v>-2.03431287004632E-6</v>
      </c>
      <c r="AV75" s="1">
        <v>8.1411000727871095E-8</v>
      </c>
      <c r="AW75">
        <f t="shared" si="28"/>
        <v>3.3598752966221741E-5</v>
      </c>
      <c r="AY75" t="s">
        <v>292</v>
      </c>
      <c r="AZ75" t="s">
        <v>224</v>
      </c>
      <c r="BA75">
        <v>800</v>
      </c>
      <c r="BB75">
        <v>1.2488842964343185E-5</v>
      </c>
      <c r="BD75">
        <f t="shared" si="36"/>
        <v>6.4981534852912021E-5</v>
      </c>
      <c r="BF75">
        <f t="shared" si="37"/>
        <v>7.1057063409330515E-5</v>
      </c>
      <c r="BH75">
        <f t="shared" si="29"/>
        <v>9.2166973411209058E-5</v>
      </c>
      <c r="BJ75">
        <f t="shared" si="30"/>
        <v>4.0841419062240369E-2</v>
      </c>
      <c r="BL75" s="1">
        <f t="shared" si="31"/>
        <v>4.5786321183813122E-2</v>
      </c>
      <c r="BN75">
        <f t="shared" si="32"/>
        <v>3.9924304643489214E-2</v>
      </c>
      <c r="BP75">
        <v>3.5609695388182185</v>
      </c>
      <c r="BQ75" s="3">
        <v>76.83</v>
      </c>
      <c r="BR75">
        <v>8.82</v>
      </c>
      <c r="BT75" s="1">
        <v>2.3882999999999998E-7</v>
      </c>
      <c r="BV75" s="11">
        <f t="shared" si="33"/>
        <v>3.3027896827708365</v>
      </c>
    </row>
    <row r="76" spans="1:74" x14ac:dyDescent="0.25">
      <c r="A76" t="s">
        <v>76</v>
      </c>
      <c r="B76" t="s">
        <v>5</v>
      </c>
      <c r="C76" s="1">
        <v>2.33E-3</v>
      </c>
      <c r="D76">
        <v>1.3953315018302998E-8</v>
      </c>
      <c r="F76" t="s">
        <v>76</v>
      </c>
      <c r="G76" t="s">
        <v>6</v>
      </c>
      <c r="H76" s="1">
        <v>1.6900000000000001E-3</v>
      </c>
      <c r="I76">
        <v>1.0138801704343565E-8</v>
      </c>
      <c r="K76" t="s">
        <v>76</v>
      </c>
      <c r="L76" t="s">
        <v>7</v>
      </c>
      <c r="M76" s="1">
        <v>1.57E-3</v>
      </c>
      <c r="N76">
        <v>9.414132992474665E-9</v>
      </c>
      <c r="P76" t="s">
        <v>76</v>
      </c>
      <c r="Q76" t="s">
        <v>446</v>
      </c>
      <c r="R76">
        <v>6.96031608477661E-9</v>
      </c>
      <c r="T76">
        <f t="shared" si="34"/>
        <v>3.8145133139594323E-9</v>
      </c>
      <c r="V76" s="1">
        <f t="shared" si="35"/>
        <v>4.5391820258283327E-9</v>
      </c>
      <c r="X76">
        <f t="shared" si="27"/>
        <v>6.9929989335263877E-9</v>
      </c>
      <c r="AA76" t="s">
        <v>293</v>
      </c>
      <c r="AB76" t="s">
        <v>224</v>
      </c>
      <c r="AC76">
        <v>350</v>
      </c>
      <c r="AD76" s="1">
        <v>1.1772089114706299E-4</v>
      </c>
      <c r="AE76" s="1">
        <v>6.4973379000992603E-7</v>
      </c>
      <c r="AF76" s="1">
        <v>7.4071675092454297E-7</v>
      </c>
      <c r="AG76">
        <f t="shared" si="25"/>
        <v>1.1772501445216152E-4</v>
      </c>
      <c r="AI76" t="s">
        <v>293</v>
      </c>
      <c r="AJ76" t="s">
        <v>224</v>
      </c>
      <c r="AK76">
        <v>550</v>
      </c>
      <c r="AL76" s="1">
        <v>4.5841821750469202E-5</v>
      </c>
      <c r="AM76" s="1">
        <v>4.8972417023655804E-7</v>
      </c>
      <c r="AN76" s="1">
        <v>8.9428750752684905E-8</v>
      </c>
      <c r="AO76">
        <f t="shared" si="26"/>
        <v>4.5844524740323855E-5</v>
      </c>
      <c r="AQ76" t="s">
        <v>293</v>
      </c>
      <c r="AR76" t="s">
        <v>224</v>
      </c>
      <c r="AS76">
        <v>600</v>
      </c>
      <c r="AT76" s="1">
        <v>3.7897154319023502E-5</v>
      </c>
      <c r="AU76" s="1">
        <v>1.6691968700711299E-6</v>
      </c>
      <c r="AV76" s="1">
        <v>-1.4150711996608799E-6</v>
      </c>
      <c r="AW76">
        <f t="shared" si="28"/>
        <v>3.7960281218281913E-5</v>
      </c>
      <c r="AY76" t="s">
        <v>293</v>
      </c>
      <c r="AZ76" t="s">
        <v>224</v>
      </c>
      <c r="BA76">
        <v>800</v>
      </c>
      <c r="BB76">
        <v>1.7069918070172285E-5</v>
      </c>
      <c r="BD76">
        <f t="shared" si="36"/>
        <v>7.188048971183766E-5</v>
      </c>
      <c r="BF76">
        <f t="shared" si="37"/>
        <v>7.9764733233879609E-5</v>
      </c>
      <c r="BH76">
        <f t="shared" si="29"/>
        <v>1.0065509638198923E-4</v>
      </c>
      <c r="BJ76">
        <f t="shared" si="30"/>
        <v>5.3067436369054651E-2</v>
      </c>
      <c r="BL76" s="1">
        <f t="shared" si="31"/>
        <v>5.690712977775423E-2</v>
      </c>
      <c r="BN76">
        <f t="shared" si="32"/>
        <v>6.9474862027728221E-2</v>
      </c>
      <c r="BP76">
        <v>6.8506504096578809</v>
      </c>
      <c r="BQ76" s="6">
        <v>76.849999999999994</v>
      </c>
      <c r="BR76">
        <v>9.7200000000000006</v>
      </c>
      <c r="BT76" s="1">
        <v>2.4181999999999998E-7</v>
      </c>
      <c r="BV76" s="11">
        <f t="shared" si="33"/>
        <v>5.9363420579394823</v>
      </c>
    </row>
    <row r="77" spans="1:74" x14ac:dyDescent="0.25">
      <c r="A77" t="s">
        <v>77</v>
      </c>
      <c r="B77" t="s">
        <v>5</v>
      </c>
      <c r="C77" s="1">
        <v>7.1199999999999996E-4</v>
      </c>
      <c r="D77">
        <v>4.9808031480876653E-9</v>
      </c>
      <c r="F77" t="s">
        <v>77</v>
      </c>
      <c r="G77" t="s">
        <v>6</v>
      </c>
      <c r="H77" s="1">
        <v>6.0300000000000002E-4</v>
      </c>
      <c r="I77">
        <v>4.2144750562792519E-9</v>
      </c>
      <c r="K77" t="s">
        <v>77</v>
      </c>
      <c r="L77" t="s">
        <v>7</v>
      </c>
      <c r="M77" s="1">
        <v>3.8499999999999998E-4</v>
      </c>
      <c r="N77">
        <v>2.6982913111819489E-9</v>
      </c>
      <c r="P77" t="s">
        <v>77</v>
      </c>
      <c r="Q77" t="s">
        <v>446</v>
      </c>
      <c r="R77">
        <v>2.5625463898239969E-9</v>
      </c>
      <c r="T77">
        <f t="shared" si="34"/>
        <v>7.6632809180841343E-10</v>
      </c>
      <c r="V77" s="1">
        <f t="shared" si="35"/>
        <v>2.2825118369057164E-9</v>
      </c>
      <c r="X77">
        <f t="shared" si="27"/>
        <v>2.4182567582636684E-9</v>
      </c>
      <c r="AA77" t="s">
        <v>294</v>
      </c>
      <c r="AB77" t="s">
        <v>224</v>
      </c>
      <c r="AC77">
        <v>350</v>
      </c>
      <c r="AD77" s="1">
        <v>1.00884566344458E-4</v>
      </c>
      <c r="AE77" s="1">
        <v>-9.2872682001323403E-7</v>
      </c>
      <c r="AF77" s="1">
        <v>2.0999104002940899E-6</v>
      </c>
      <c r="AG77">
        <f t="shared" si="25"/>
        <v>1.0091069261334411E-4</v>
      </c>
      <c r="AI77" t="s">
        <v>294</v>
      </c>
      <c r="AJ77" t="s">
        <v>224</v>
      </c>
      <c r="AK77">
        <v>550</v>
      </c>
      <c r="AL77" s="1">
        <v>3.7426688746815701E-5</v>
      </c>
      <c r="AM77" s="1">
        <v>1.64006159998346E-7</v>
      </c>
      <c r="AN77" s="1">
        <v>1.7381248509328099E-6</v>
      </c>
      <c r="AO77">
        <f t="shared" si="26"/>
        <v>3.7467385905197181E-5</v>
      </c>
      <c r="AQ77" t="s">
        <v>294</v>
      </c>
      <c r="AR77" t="s">
        <v>224</v>
      </c>
      <c r="AS77">
        <v>600</v>
      </c>
      <c r="AT77" s="1">
        <v>3.1640245521920498E-5</v>
      </c>
      <c r="AU77" s="1">
        <v>-1.06352369996691E-7</v>
      </c>
      <c r="AV77" s="1">
        <v>-1.24583499046048E-7</v>
      </c>
      <c r="AW77">
        <f t="shared" si="28"/>
        <v>3.1640669534038761E-5</v>
      </c>
      <c r="AY77" t="s">
        <v>294</v>
      </c>
      <c r="AZ77" t="s">
        <v>224</v>
      </c>
      <c r="BA77">
        <v>800</v>
      </c>
      <c r="BB77">
        <v>1.3281003544178667E-5</v>
      </c>
      <c r="BD77">
        <f t="shared" si="36"/>
        <v>6.344330670814694E-5</v>
      </c>
      <c r="BF77">
        <f t="shared" si="37"/>
        <v>6.9270023079305359E-5</v>
      </c>
      <c r="BH77">
        <f t="shared" si="29"/>
        <v>8.7629689069165453E-5</v>
      </c>
      <c r="BJ77">
        <f t="shared" si="30"/>
        <v>1.2078943100076577E-2</v>
      </c>
      <c r="BL77" s="1">
        <f t="shared" si="31"/>
        <v>3.2950932242256238E-2</v>
      </c>
      <c r="BN77">
        <f t="shared" si="32"/>
        <v>2.7596317914068559E-2</v>
      </c>
      <c r="BP77">
        <v>3.0610477078042391</v>
      </c>
      <c r="BQ77" s="4">
        <v>76.86999999999999</v>
      </c>
      <c r="BR77">
        <v>8.2799999999999994</v>
      </c>
      <c r="BT77" s="1">
        <v>2.3970000000000001E-7</v>
      </c>
      <c r="BV77" s="11">
        <f t="shared" si="33"/>
        <v>2.5095797827435589</v>
      </c>
    </row>
    <row r="78" spans="1:74" x14ac:dyDescent="0.25">
      <c r="A78" t="s">
        <v>78</v>
      </c>
      <c r="B78" t="s">
        <v>5</v>
      </c>
      <c r="C78" s="1">
        <v>8.9400000000000005E-4</v>
      </c>
      <c r="D78">
        <v>5.3639537656471274E-9</v>
      </c>
      <c r="F78" t="s">
        <v>78</v>
      </c>
      <c r="G78" t="s">
        <v>6</v>
      </c>
      <c r="H78" s="1">
        <v>2.1800000000000001E-4</v>
      </c>
      <c r="I78">
        <v>1.3064195344528494E-9</v>
      </c>
      <c r="K78" t="s">
        <v>78</v>
      </c>
      <c r="L78" t="s">
        <v>7</v>
      </c>
      <c r="M78" s="1">
        <v>4.9700000000000005E-4</v>
      </c>
      <c r="N78">
        <v>2.9863884543039609E-9</v>
      </c>
      <c r="P78" t="s">
        <v>78</v>
      </c>
      <c r="Q78" t="s">
        <v>446</v>
      </c>
      <c r="R78">
        <v>2.4853549042340007E-9</v>
      </c>
      <c r="T78">
        <f t="shared" si="34"/>
        <v>4.0575342311942782E-9</v>
      </c>
      <c r="V78" s="1">
        <f t="shared" si="35"/>
        <v>2.3775653113431665E-9</v>
      </c>
      <c r="X78">
        <f t="shared" si="27"/>
        <v>2.8785988614131267E-9</v>
      </c>
      <c r="AA78" t="s">
        <v>295</v>
      </c>
      <c r="AB78" t="s">
        <v>224</v>
      </c>
      <c r="AC78">
        <v>350</v>
      </c>
      <c r="AD78" s="1">
        <v>1.09747433222365E-4</v>
      </c>
      <c r="AE78" s="1">
        <v>-4.2713637999503702E-7</v>
      </c>
      <c r="AF78" s="1">
        <v>1.6689255009420101E-6</v>
      </c>
      <c r="AG78">
        <f t="shared" si="25"/>
        <v>1.0976095324254556E-4</v>
      </c>
      <c r="AI78" t="s">
        <v>295</v>
      </c>
      <c r="AJ78" t="s">
        <v>224</v>
      </c>
      <c r="AK78">
        <v>550</v>
      </c>
      <c r="AL78" s="1">
        <v>4.22394301697669E-5</v>
      </c>
      <c r="AM78" s="1">
        <v>-8.4857399000992596E-7</v>
      </c>
      <c r="AN78" s="1">
        <v>-3.0553794969304399E-7</v>
      </c>
      <c r="AO78">
        <f t="shared" si="26"/>
        <v>4.2249057886795992E-5</v>
      </c>
      <c r="AQ78" t="s">
        <v>295</v>
      </c>
      <c r="AR78" t="s">
        <v>224</v>
      </c>
      <c r="AS78">
        <v>600</v>
      </c>
      <c r="AT78" s="1">
        <v>3.48707048936815E-5</v>
      </c>
      <c r="AU78" s="1">
        <v>-1.5927198700545901E-6</v>
      </c>
      <c r="AV78" s="1">
        <v>-6.7928844966823099E-7</v>
      </c>
      <c r="AW78">
        <f t="shared" si="28"/>
        <v>3.4913668514845907E-5</v>
      </c>
      <c r="AY78" t="s">
        <v>295</v>
      </c>
      <c r="AZ78" t="s">
        <v>224</v>
      </c>
      <c r="BA78">
        <v>800</v>
      </c>
      <c r="BB78">
        <v>1.494670730021924E-5</v>
      </c>
      <c r="BD78">
        <f t="shared" si="36"/>
        <v>6.7511895355749568E-5</v>
      </c>
      <c r="BF78">
        <f t="shared" si="37"/>
        <v>7.4847284727699653E-5</v>
      </c>
      <c r="BH78">
        <f t="shared" si="29"/>
        <v>9.4814245942326323E-5</v>
      </c>
      <c r="BJ78">
        <f t="shared" si="30"/>
        <v>6.0101026786662758E-2</v>
      </c>
      <c r="BL78" s="1">
        <f t="shared" si="31"/>
        <v>3.176555195012E-2</v>
      </c>
      <c r="BN78">
        <f t="shared" si="32"/>
        <v>3.0360404523642182E-2</v>
      </c>
      <c r="BP78">
        <v>2.6311275104437839</v>
      </c>
      <c r="BQ78" s="4">
        <v>76.889999999999986</v>
      </c>
      <c r="BR78">
        <v>8.8800000000000008</v>
      </c>
      <c r="BT78" s="1">
        <v>2.4013000000000002E-7</v>
      </c>
      <c r="BV78" s="11">
        <f t="shared" si="33"/>
        <v>2.5155076312113631</v>
      </c>
    </row>
    <row r="79" spans="1:74" x14ac:dyDescent="0.25">
      <c r="A79" t="s">
        <v>79</v>
      </c>
      <c r="B79" t="s">
        <v>5</v>
      </c>
      <c r="C79" s="1">
        <v>9.8200000000000002E-4</v>
      </c>
      <c r="D79">
        <v>5.8921983164180755E-9</v>
      </c>
      <c r="F79" t="s">
        <v>79</v>
      </c>
      <c r="G79" t="s">
        <v>6</v>
      </c>
      <c r="H79" s="1">
        <v>6.7199999999999996E-4</v>
      </c>
      <c r="I79">
        <v>4.0340302428216874E-9</v>
      </c>
      <c r="K79" t="s">
        <v>79</v>
      </c>
      <c r="L79" t="s">
        <v>7</v>
      </c>
      <c r="M79" s="1">
        <v>4.3399999999999998E-4</v>
      </c>
      <c r="N79">
        <v>2.6006729898239803E-9</v>
      </c>
      <c r="P79" t="s">
        <v>79</v>
      </c>
      <c r="Q79" t="s">
        <v>446</v>
      </c>
      <c r="R79">
        <v>5.7440300312585412E-9</v>
      </c>
      <c r="T79">
        <f t="shared" si="34"/>
        <v>1.858168073596388E-9</v>
      </c>
      <c r="V79" s="1">
        <f t="shared" si="35"/>
        <v>3.2915253265940952E-9</v>
      </c>
      <c r="X79">
        <f t="shared" si="27"/>
        <v>1.4816828515953422E-10</v>
      </c>
      <c r="AA79" t="s">
        <v>296</v>
      </c>
      <c r="AB79" t="s">
        <v>224</v>
      </c>
      <c r="AC79">
        <v>350</v>
      </c>
      <c r="AD79" s="1">
        <v>1.1615315913232599E-4</v>
      </c>
      <c r="AE79" s="1">
        <v>-5.8083048016046196E-7</v>
      </c>
      <c r="AF79" s="1">
        <v>1.7787070002637599E-6</v>
      </c>
      <c r="AG79">
        <f t="shared" si="25"/>
        <v>1.1616822947372021E-4</v>
      </c>
      <c r="AI79" t="s">
        <v>296</v>
      </c>
      <c r="AJ79" t="s">
        <v>224</v>
      </c>
      <c r="AK79">
        <v>550</v>
      </c>
      <c r="AL79" s="1">
        <v>4.51173278013411E-5</v>
      </c>
      <c r="AM79" s="1">
        <v>-1.4988998599983501E-6</v>
      </c>
      <c r="AN79" s="1">
        <v>1.90699100059461E-6</v>
      </c>
      <c r="AO79">
        <f t="shared" si="26"/>
        <v>4.5182480934542742E-5</v>
      </c>
      <c r="AQ79" t="s">
        <v>296</v>
      </c>
      <c r="AR79" t="s">
        <v>224</v>
      </c>
      <c r="AS79">
        <v>600</v>
      </c>
      <c r="AT79" s="1">
        <v>3.7000271301481502E-5</v>
      </c>
      <c r="AU79" s="1">
        <v>-1.1860595900099301E-6</v>
      </c>
      <c r="AV79" s="1">
        <v>-3.5771499413659399E-8</v>
      </c>
      <c r="AW79">
        <f t="shared" si="28"/>
        <v>3.7019293528300352E-5</v>
      </c>
      <c r="AY79" t="s">
        <v>296</v>
      </c>
      <c r="AZ79" t="s">
        <v>224</v>
      </c>
      <c r="BA79">
        <v>800</v>
      </c>
      <c r="BB79">
        <v>1.5742081723016869E-5</v>
      </c>
      <c r="BD79">
        <f t="shared" si="36"/>
        <v>7.0985748539177472E-5</v>
      </c>
      <c r="BF79">
        <f t="shared" si="37"/>
        <v>7.9148935945419849E-5</v>
      </c>
      <c r="BH79">
        <f t="shared" si="29"/>
        <v>1.0042614775070333E-4</v>
      </c>
      <c r="BJ79">
        <f t="shared" si="30"/>
        <v>2.617663561821643E-2</v>
      </c>
      <c r="BL79" s="1">
        <f t="shared" si="31"/>
        <v>4.1586476018627611E-2</v>
      </c>
      <c r="BN79">
        <f t="shared" si="32"/>
        <v>1.4753954869138801E-3</v>
      </c>
      <c r="BP79">
        <v>3.0287184606764654</v>
      </c>
      <c r="BQ79" s="4">
        <v>76.909999999999982</v>
      </c>
      <c r="BR79">
        <v>9.4</v>
      </c>
      <c r="BT79" s="1">
        <v>2.3617E-7</v>
      </c>
      <c r="BV79" s="11">
        <f t="shared" si="33"/>
        <v>2.6541457768962293</v>
      </c>
    </row>
    <row r="80" spans="1:74" x14ac:dyDescent="0.25">
      <c r="A80" t="s">
        <v>80</v>
      </c>
      <c r="B80" t="s">
        <v>5</v>
      </c>
      <c r="C80" s="1">
        <v>1.01E-3</v>
      </c>
      <c r="D80">
        <v>7.0710678118654751E-9</v>
      </c>
      <c r="F80" t="s">
        <v>80</v>
      </c>
      <c r="G80" t="s">
        <v>6</v>
      </c>
      <c r="H80" s="1">
        <v>5.6800000000000004E-4</v>
      </c>
      <c r="I80">
        <v>3.9759024132893404E-9</v>
      </c>
      <c r="K80" t="s">
        <v>80</v>
      </c>
      <c r="L80" t="s">
        <v>7</v>
      </c>
      <c r="M80" s="1">
        <v>5.7499999999999999E-4</v>
      </c>
      <c r="N80">
        <v>4.0217637921688044E-9</v>
      </c>
      <c r="P80" t="s">
        <v>80</v>
      </c>
      <c r="Q80" t="s">
        <v>446</v>
      </c>
      <c r="R80">
        <v>3.4136527357070169E-9</v>
      </c>
      <c r="T80">
        <f t="shared" si="34"/>
        <v>3.0951653985761347E-9</v>
      </c>
      <c r="V80" s="1">
        <f t="shared" si="35"/>
        <v>3.0493040196966707E-9</v>
      </c>
      <c r="X80">
        <f t="shared" si="27"/>
        <v>3.6574150761584582E-9</v>
      </c>
      <c r="AA80" t="s">
        <v>297</v>
      </c>
      <c r="AB80" t="s">
        <v>224</v>
      </c>
      <c r="AC80">
        <v>350</v>
      </c>
      <c r="AD80" s="1">
        <v>1.2654121361293201E-4</v>
      </c>
      <c r="AE80" s="1">
        <v>-3.4586599899851099E-6</v>
      </c>
      <c r="AF80" s="1">
        <v>1.62575299997151E-6</v>
      </c>
      <c r="AG80">
        <f t="shared" si="25"/>
        <v>1.2659891051812781E-4</v>
      </c>
      <c r="AI80" t="s">
        <v>297</v>
      </c>
      <c r="AJ80" t="s">
        <v>224</v>
      </c>
      <c r="AK80">
        <v>550</v>
      </c>
      <c r="AL80" s="1">
        <v>4.9150294001825498E-5</v>
      </c>
      <c r="AM80" s="1">
        <v>-1.4957914400182E-6</v>
      </c>
      <c r="AN80" s="1">
        <v>1.96471880055234E-6</v>
      </c>
      <c r="AO80">
        <f t="shared" si="26"/>
        <v>4.9212284162220707E-5</v>
      </c>
      <c r="AQ80" t="s">
        <v>297</v>
      </c>
      <c r="AR80" t="s">
        <v>224</v>
      </c>
      <c r="AS80">
        <v>600</v>
      </c>
      <c r="AT80" s="1">
        <v>4.2934602926546701E-5</v>
      </c>
      <c r="AU80" s="1">
        <v>-1.0297011300033099E-6</v>
      </c>
      <c r="AV80" s="1">
        <v>1.40619000580826E-7</v>
      </c>
      <c r="AW80">
        <f t="shared" si="28"/>
        <v>4.294717902936917E-5</v>
      </c>
      <c r="AY80" t="s">
        <v>297</v>
      </c>
      <c r="AZ80" t="s">
        <v>224</v>
      </c>
      <c r="BA80">
        <v>800</v>
      </c>
      <c r="BB80">
        <v>1.9146788268463615E-5</v>
      </c>
      <c r="BD80">
        <f t="shared" si="36"/>
        <v>7.7386626355907103E-5</v>
      </c>
      <c r="BF80">
        <f t="shared" si="37"/>
        <v>8.3651731488758633E-5</v>
      </c>
      <c r="BH80">
        <f t="shared" si="29"/>
        <v>1.074521222496642E-4</v>
      </c>
      <c r="BJ80">
        <f t="shared" si="30"/>
        <v>3.9996127810782559E-2</v>
      </c>
      <c r="BL80" s="1">
        <f t="shared" si="31"/>
        <v>3.6452371820975937E-2</v>
      </c>
      <c r="BN80">
        <f t="shared" si="32"/>
        <v>3.4037625312420369E-2</v>
      </c>
      <c r="BP80">
        <v>3.4985128039387803</v>
      </c>
      <c r="BQ80" s="4">
        <v>76.929999999999978</v>
      </c>
      <c r="BR80">
        <v>10.41</v>
      </c>
      <c r="BT80" s="1">
        <v>2.3454000000000001E-7</v>
      </c>
      <c r="BV80" s="11">
        <f t="shared" si="33"/>
        <v>2.8961253285972961</v>
      </c>
    </row>
    <row r="81" spans="1:74" x14ac:dyDescent="0.25">
      <c r="A81" t="s">
        <v>81</v>
      </c>
      <c r="B81" t="s">
        <v>5</v>
      </c>
      <c r="C81" s="1">
        <v>7.5699999999999997E-4</v>
      </c>
      <c r="D81">
        <v>4.5439948283421278E-9</v>
      </c>
      <c r="F81" t="s">
        <v>81</v>
      </c>
      <c r="G81" t="s">
        <v>6</v>
      </c>
      <c r="H81" s="1">
        <v>3.5599999999999998E-4</v>
      </c>
      <c r="I81">
        <v>2.1357961045006149E-9</v>
      </c>
      <c r="K81" t="s">
        <v>81</v>
      </c>
      <c r="L81" t="s">
        <v>7</v>
      </c>
      <c r="M81" s="1">
        <v>1.5300000000000001E-4</v>
      </c>
      <c r="N81">
        <v>9.1866969036754443E-10</v>
      </c>
      <c r="P81" t="s">
        <v>81</v>
      </c>
      <c r="Q81" t="s">
        <v>446</v>
      </c>
      <c r="R81">
        <v>1.814764447524802E-9</v>
      </c>
      <c r="T81">
        <f t="shared" si="34"/>
        <v>2.4081987238415129E-9</v>
      </c>
      <c r="V81" s="1">
        <f t="shared" si="35"/>
        <v>3.6253251379745835E-9</v>
      </c>
      <c r="X81">
        <f t="shared" si="27"/>
        <v>2.7292303808173257E-9</v>
      </c>
      <c r="AA81" t="s">
        <v>298</v>
      </c>
      <c r="AB81" t="s">
        <v>224</v>
      </c>
      <c r="AC81">
        <v>350</v>
      </c>
      <c r="AD81" s="1">
        <v>1.05262045277288E-4</v>
      </c>
      <c r="AE81" s="1">
        <v>-1.29142516000662E-6</v>
      </c>
      <c r="AF81" s="1">
        <v>1.34093785054407E-6</v>
      </c>
      <c r="AG81">
        <f t="shared" si="25"/>
        <v>1.0527850715706768E-4</v>
      </c>
      <c r="AI81" t="s">
        <v>298</v>
      </c>
      <c r="AJ81" t="s">
        <v>224</v>
      </c>
      <c r="AK81">
        <v>550</v>
      </c>
      <c r="AL81" s="1">
        <v>4.2622860903389301E-5</v>
      </c>
      <c r="AM81" s="1">
        <v>-1.7796691300363899E-6</v>
      </c>
      <c r="AN81" s="1">
        <v>-3.5919519948350598E-7</v>
      </c>
      <c r="AO81">
        <f t="shared" si="26"/>
        <v>4.2661510931909205E-5</v>
      </c>
      <c r="AQ81" t="s">
        <v>298</v>
      </c>
      <c r="AR81" t="s">
        <v>224</v>
      </c>
      <c r="AS81">
        <v>600</v>
      </c>
      <c r="AT81" s="1">
        <v>3.5124733284818497E-5</v>
      </c>
      <c r="AU81" s="1">
        <v>-1.86751899990902E-6</v>
      </c>
      <c r="AV81" s="1">
        <v>-5.9726069981343701E-7</v>
      </c>
      <c r="AW81">
        <f t="shared" si="28"/>
        <v>3.5179414945223279E-5</v>
      </c>
      <c r="AY81" t="s">
        <v>298</v>
      </c>
      <c r="AZ81" t="s">
        <v>224</v>
      </c>
      <c r="BA81">
        <v>800</v>
      </c>
      <c r="BB81">
        <v>1.5315383760365403E-5</v>
      </c>
      <c r="BD81">
        <f t="shared" si="36"/>
        <v>6.2616996225158477E-5</v>
      </c>
      <c r="BF81">
        <f t="shared" si="37"/>
        <v>7.0099092211844396E-5</v>
      </c>
      <c r="BH81">
        <f t="shared" si="29"/>
        <v>8.9963123396702272E-5</v>
      </c>
      <c r="BJ81">
        <f t="shared" si="30"/>
        <v>3.8459186307533838E-2</v>
      </c>
      <c r="BL81" s="1">
        <f t="shared" si="31"/>
        <v>5.1717148162469716E-2</v>
      </c>
      <c r="BN81">
        <f t="shared" si="32"/>
        <v>3.0337212379593408E-2</v>
      </c>
      <c r="BP81">
        <v>2.2293689590817647</v>
      </c>
      <c r="BQ81" s="4">
        <v>76.949999999999974</v>
      </c>
      <c r="BR81">
        <v>8.67</v>
      </c>
      <c r="BT81" s="1">
        <v>2.3510000000000001E-7</v>
      </c>
      <c r="BV81" s="11">
        <f t="shared" si="33"/>
        <v>2.2292876075419712</v>
      </c>
    </row>
    <row r="82" spans="1:74" x14ac:dyDescent="0.25">
      <c r="A82" t="s">
        <v>82</v>
      </c>
      <c r="B82" t="s">
        <v>5</v>
      </c>
      <c r="C82" s="1">
        <v>1.14E-3</v>
      </c>
      <c r="D82">
        <v>6.8419076287246091E-9</v>
      </c>
      <c r="F82" t="s">
        <v>82</v>
      </c>
      <c r="G82" t="s">
        <v>6</v>
      </c>
      <c r="H82" s="1">
        <v>6.9899999999999997E-4</v>
      </c>
      <c r="I82">
        <v>4.1951711526468146E-9</v>
      </c>
      <c r="K82" t="s">
        <v>82</v>
      </c>
      <c r="L82" t="s">
        <v>7</v>
      </c>
      <c r="M82" s="1">
        <v>6.3299999999999999E-4</v>
      </c>
      <c r="N82">
        <v>3.7984898314988286E-9</v>
      </c>
      <c r="P82" t="s">
        <v>82</v>
      </c>
      <c r="Q82" t="s">
        <v>446</v>
      </c>
      <c r="R82">
        <v>1.7674816576134532E-9</v>
      </c>
      <c r="T82">
        <f t="shared" si="34"/>
        <v>2.6467364760777944E-9</v>
      </c>
      <c r="V82" s="1">
        <f t="shared" si="35"/>
        <v>3.0434177972257805E-9</v>
      </c>
      <c r="X82">
        <f t="shared" si="27"/>
        <v>5.0744259711111561E-9</v>
      </c>
      <c r="AA82" t="s">
        <v>299</v>
      </c>
      <c r="AB82" t="s">
        <v>224</v>
      </c>
      <c r="AC82">
        <v>350</v>
      </c>
      <c r="AD82" s="1">
        <v>1.31506663938312E-4</v>
      </c>
      <c r="AE82" s="1">
        <v>-6.5188008001158001E-7</v>
      </c>
      <c r="AF82" s="1">
        <v>2.7273918498998301E-6</v>
      </c>
      <c r="AG82">
        <f t="shared" si="25"/>
        <v>1.3153655869805074E-4</v>
      </c>
      <c r="AI82" t="s">
        <v>299</v>
      </c>
      <c r="AJ82" t="s">
        <v>224</v>
      </c>
      <c r="AK82">
        <v>550</v>
      </c>
      <c r="AL82" s="1">
        <v>5.2083517127748699E-5</v>
      </c>
      <c r="AM82" s="1">
        <v>-9.5892290009925495E-8</v>
      </c>
      <c r="AN82" s="1">
        <v>2.5944205504779001E-6</v>
      </c>
      <c r="AO82">
        <f t="shared" si="26"/>
        <v>5.2148182803627185E-5</v>
      </c>
      <c r="AQ82" t="s">
        <v>299</v>
      </c>
      <c r="AR82" t="s">
        <v>224</v>
      </c>
      <c r="AS82">
        <v>600</v>
      </c>
      <c r="AT82" s="1">
        <v>4.5429114052517398E-5</v>
      </c>
      <c r="AU82" s="1">
        <v>4.3399463999338301E-7</v>
      </c>
      <c r="AV82" s="1">
        <v>2.2268375505128201E-6</v>
      </c>
      <c r="AW82">
        <f t="shared" si="28"/>
        <v>4.5485729195216283E-5</v>
      </c>
      <c r="AY82" t="s">
        <v>299</v>
      </c>
      <c r="AZ82" t="s">
        <v>224</v>
      </c>
      <c r="BA82">
        <v>800</v>
      </c>
      <c r="BB82">
        <v>2.1700848384907897E-5</v>
      </c>
      <c r="BD82">
        <f t="shared" si="36"/>
        <v>7.9388375894423558E-5</v>
      </c>
      <c r="BF82">
        <f t="shared" si="37"/>
        <v>8.6050829502834454E-5</v>
      </c>
      <c r="BH82">
        <f t="shared" si="29"/>
        <v>1.0983571031314284E-4</v>
      </c>
      <c r="BJ82">
        <f t="shared" si="30"/>
        <v>3.3339093365477294E-2</v>
      </c>
      <c r="BL82" s="1">
        <f t="shared" si="31"/>
        <v>3.5367675300858457E-2</v>
      </c>
      <c r="BN82">
        <f t="shared" si="32"/>
        <v>4.6200147080069962E-2</v>
      </c>
      <c r="BP82">
        <v>3.1494015955028831</v>
      </c>
      <c r="BQ82" s="4">
        <v>76.97</v>
      </c>
      <c r="BR82">
        <v>10.34</v>
      </c>
      <c r="BT82" s="1">
        <v>2.3785E-7</v>
      </c>
      <c r="BV82" s="11">
        <f t="shared" si="33"/>
        <v>2.7819768520805983</v>
      </c>
    </row>
    <row r="83" spans="1:74" x14ac:dyDescent="0.25">
      <c r="A83" t="s">
        <v>83</v>
      </c>
      <c r="B83" t="s">
        <v>5</v>
      </c>
      <c r="C83" s="1">
        <v>1.2700000000000001E-3</v>
      </c>
      <c r="D83">
        <v>8.8869511082260363E-9</v>
      </c>
      <c r="F83" t="s">
        <v>83</v>
      </c>
      <c r="G83" t="s">
        <v>6</v>
      </c>
      <c r="H83" s="1">
        <v>8.7399999999999999E-4</v>
      </c>
      <c r="I83">
        <v>6.1195827602868476E-9</v>
      </c>
      <c r="K83" t="s">
        <v>83</v>
      </c>
      <c r="L83" t="s">
        <v>7</v>
      </c>
      <c r="M83" s="1">
        <v>8.2299999999999995E-4</v>
      </c>
      <c r="N83">
        <v>5.7627337262795681E-9</v>
      </c>
      <c r="P83" t="s">
        <v>83</v>
      </c>
      <c r="Q83" t="s">
        <v>446</v>
      </c>
      <c r="R83">
        <v>4.7853213058268093E-9</v>
      </c>
      <c r="T83">
        <f t="shared" si="34"/>
        <v>2.7673683479391887E-9</v>
      </c>
      <c r="V83" s="1">
        <f t="shared" si="35"/>
        <v>3.1242173819464682E-9</v>
      </c>
      <c r="X83">
        <f t="shared" si="27"/>
        <v>4.101629802399227E-9</v>
      </c>
      <c r="AA83" t="s">
        <v>300</v>
      </c>
      <c r="AB83" t="s">
        <v>224</v>
      </c>
      <c r="AC83">
        <v>350</v>
      </c>
      <c r="AD83" s="1">
        <v>1.2726438080325699E-4</v>
      </c>
      <c r="AE83" s="1">
        <v>-3.69884711000662E-6</v>
      </c>
      <c r="AF83" s="1">
        <v>1.37276215048709E-6</v>
      </c>
      <c r="AG83">
        <f t="shared" si="25"/>
        <v>1.2732552205705429E-4</v>
      </c>
      <c r="AI83" t="s">
        <v>300</v>
      </c>
      <c r="AJ83" t="s">
        <v>224</v>
      </c>
      <c r="AK83">
        <v>550</v>
      </c>
      <c r="AL83" s="1">
        <v>4.7704799888266398E-5</v>
      </c>
      <c r="AM83" s="1">
        <v>-3.3949620500413601E-6</v>
      </c>
      <c r="AN83" s="1">
        <v>1.07487189989064E-6</v>
      </c>
      <c r="AO83">
        <f t="shared" si="26"/>
        <v>4.7837527625306235E-5</v>
      </c>
      <c r="AQ83" t="s">
        <v>300</v>
      </c>
      <c r="AR83" t="s">
        <v>224</v>
      </c>
      <c r="AS83">
        <v>600</v>
      </c>
      <c r="AT83" s="1">
        <v>4.06850540870427E-5</v>
      </c>
      <c r="AU83" s="1">
        <v>-3.7963182800446702E-6</v>
      </c>
      <c r="AV83" s="1">
        <v>1.85173019993291E-6</v>
      </c>
      <c r="AW83">
        <f t="shared" si="28"/>
        <v>4.0903723098054711E-5</v>
      </c>
      <c r="AY83" t="s">
        <v>300</v>
      </c>
      <c r="AZ83" t="s">
        <v>224</v>
      </c>
      <c r="BA83">
        <v>800</v>
      </c>
      <c r="BB83">
        <v>1.8729762651269163E-5</v>
      </c>
      <c r="BD83">
        <f t="shared" si="36"/>
        <v>7.9487994431748054E-5</v>
      </c>
      <c r="BF83">
        <f t="shared" si="37"/>
        <v>8.6421798958999577E-5</v>
      </c>
      <c r="BH83">
        <f t="shared" si="29"/>
        <v>1.0859575940578512E-4</v>
      </c>
      <c r="BJ83">
        <f t="shared" si="30"/>
        <v>3.4814922275028276E-2</v>
      </c>
      <c r="BL83" s="1">
        <f t="shared" si="31"/>
        <v>3.6150802454698566E-2</v>
      </c>
      <c r="BN83">
        <f t="shared" si="32"/>
        <v>3.7769705049649709E-2</v>
      </c>
      <c r="BP83">
        <v>4.5865539691994544</v>
      </c>
      <c r="BQ83" s="4">
        <v>76.989999999999995</v>
      </c>
      <c r="BR83">
        <v>10.45</v>
      </c>
      <c r="BT83" s="1">
        <v>2.3372E-7</v>
      </c>
      <c r="BV83" s="11">
        <f t="shared" si="33"/>
        <v>3.6386528468719517</v>
      </c>
    </row>
    <row r="84" spans="1:74" x14ac:dyDescent="0.25">
      <c r="A84" t="s">
        <v>84</v>
      </c>
      <c r="B84" t="s">
        <v>5</v>
      </c>
      <c r="C84" s="1">
        <v>1.3500000000000001E-3</v>
      </c>
      <c r="D84">
        <v>8.1030852790773471E-9</v>
      </c>
      <c r="F84" t="s">
        <v>84</v>
      </c>
      <c r="G84" t="s">
        <v>6</v>
      </c>
      <c r="H84" s="1">
        <v>7.8799999999999996E-4</v>
      </c>
      <c r="I84">
        <v>4.7273582474781835E-9</v>
      </c>
      <c r="K84" t="s">
        <v>84</v>
      </c>
      <c r="L84" t="s">
        <v>7</v>
      </c>
      <c r="M84" s="1">
        <v>6.9399999999999996E-4</v>
      </c>
      <c r="N84">
        <v>4.1578480010697838E-9</v>
      </c>
      <c r="P84" t="s">
        <v>84</v>
      </c>
      <c r="Q84" t="s">
        <v>446</v>
      </c>
      <c r="R84">
        <v>4.505951730766764E-9</v>
      </c>
      <c r="T84">
        <f t="shared" si="34"/>
        <v>3.3757270315991636E-9</v>
      </c>
      <c r="V84" s="1">
        <f t="shared" si="35"/>
        <v>3.9452372780075632E-9</v>
      </c>
      <c r="X84">
        <f t="shared" si="27"/>
        <v>3.5971335483105831E-9</v>
      </c>
      <c r="AA84" t="s">
        <v>301</v>
      </c>
      <c r="AB84" t="s">
        <v>224</v>
      </c>
      <c r="AC84">
        <v>350</v>
      </c>
      <c r="AD84" s="1">
        <v>1.2823843642833E-4</v>
      </c>
      <c r="AE84" s="1">
        <v>-4.7869668000082704E-6</v>
      </c>
      <c r="AF84" s="1">
        <v>1.5054867504659501E-6</v>
      </c>
      <c r="AG84">
        <f t="shared" si="25"/>
        <v>1.2833658137523783E-4</v>
      </c>
      <c r="AI84" t="s">
        <v>301</v>
      </c>
      <c r="AJ84" t="s">
        <v>224</v>
      </c>
      <c r="AK84">
        <v>550</v>
      </c>
      <c r="AL84" s="1">
        <v>4.8771639553573198E-5</v>
      </c>
      <c r="AM84" s="1">
        <v>-3.23517446000662E-6</v>
      </c>
      <c r="AN84" s="1">
        <v>-5.0770859951659098E-7</v>
      </c>
      <c r="AO84">
        <f t="shared" si="26"/>
        <v>4.8881458105833617E-5</v>
      </c>
      <c r="AQ84" t="s">
        <v>301</v>
      </c>
      <c r="AR84" t="s">
        <v>224</v>
      </c>
      <c r="AS84">
        <v>600</v>
      </c>
      <c r="AT84" s="1">
        <v>4.0989720104158299E-5</v>
      </c>
      <c r="AU84" s="1">
        <v>-4.1988093299702201E-6</v>
      </c>
      <c r="AV84" s="1">
        <v>-1.5057334495515101E-6</v>
      </c>
      <c r="AW84">
        <f t="shared" si="28"/>
        <v>4.1231715792915804E-5</v>
      </c>
      <c r="AY84" t="s">
        <v>301</v>
      </c>
      <c r="AZ84" t="s">
        <v>224</v>
      </c>
      <c r="BA84">
        <v>800</v>
      </c>
      <c r="BB84">
        <v>1.664914871395938E-5</v>
      </c>
      <c r="BD84">
        <f t="shared" si="36"/>
        <v>7.945512326940421E-5</v>
      </c>
      <c r="BF84">
        <f t="shared" si="37"/>
        <v>8.710486558232203E-5</v>
      </c>
      <c r="BH84">
        <f t="shared" si="29"/>
        <v>1.1168743266127844E-4</v>
      </c>
      <c r="BJ84">
        <f t="shared" si="30"/>
        <v>4.248595801875818E-2</v>
      </c>
      <c r="BL84" s="1">
        <f t="shared" si="31"/>
        <v>4.5292960980221647E-2</v>
      </c>
      <c r="BN84">
        <f t="shared" si="32"/>
        <v>3.2207146879450962E-2</v>
      </c>
      <c r="BP84">
        <v>3.2920752456643485</v>
      </c>
      <c r="BQ84" s="4">
        <v>77.009999999999991</v>
      </c>
      <c r="BR84">
        <v>10.28</v>
      </c>
      <c r="BT84" s="1">
        <v>2.3575E-7</v>
      </c>
      <c r="BV84" s="11">
        <f t="shared" si="33"/>
        <v>3.3435328424794397</v>
      </c>
    </row>
    <row r="85" spans="1:74" x14ac:dyDescent="0.25">
      <c r="A85" t="s">
        <v>85</v>
      </c>
      <c r="B85" t="s">
        <v>5</v>
      </c>
      <c r="C85" s="1">
        <v>1.5900000000000001E-3</v>
      </c>
      <c r="D85">
        <v>9.5428822166052111E-9</v>
      </c>
      <c r="F85" t="s">
        <v>85</v>
      </c>
      <c r="G85" t="s">
        <v>6</v>
      </c>
      <c r="H85" s="1">
        <v>1.08E-3</v>
      </c>
      <c r="I85">
        <v>6.4751061767356371E-9</v>
      </c>
      <c r="K85" t="s">
        <v>85</v>
      </c>
      <c r="L85" t="s">
        <v>7</v>
      </c>
      <c r="M85" s="1">
        <v>8.7699999999999996E-4</v>
      </c>
      <c r="N85">
        <v>5.2592961506270023E-9</v>
      </c>
      <c r="P85" t="s">
        <v>85</v>
      </c>
      <c r="Q85" t="s">
        <v>446</v>
      </c>
      <c r="R85">
        <v>4.7969473626463736E-9</v>
      </c>
      <c r="T85">
        <f t="shared" si="34"/>
        <v>3.067776039869574E-9</v>
      </c>
      <c r="V85" s="1">
        <f t="shared" si="35"/>
        <v>4.2835860659782087E-9</v>
      </c>
      <c r="X85">
        <f t="shared" si="27"/>
        <v>4.7459348539588375E-9</v>
      </c>
      <c r="AA85" t="s">
        <v>302</v>
      </c>
      <c r="AB85" t="s">
        <v>224</v>
      </c>
      <c r="AC85">
        <v>350</v>
      </c>
      <c r="AD85" s="1">
        <v>1.25204822565408E-4</v>
      </c>
      <c r="AE85" s="1">
        <v>-1.3220899700132301E-6</v>
      </c>
      <c r="AF85" s="1">
        <v>1.4473888998180301E-6</v>
      </c>
      <c r="AG85">
        <f t="shared" si="25"/>
        <v>1.2522016790498017E-4</v>
      </c>
      <c r="AI85" t="s">
        <v>302</v>
      </c>
      <c r="AJ85" t="s">
        <v>224</v>
      </c>
      <c r="AK85">
        <v>550</v>
      </c>
      <c r="AL85" s="1">
        <v>4.7650801154911603E-5</v>
      </c>
      <c r="AM85" s="1">
        <v>-3.2145010000165401E-6</v>
      </c>
      <c r="AN85" s="1">
        <v>7.0556200334526594E-8</v>
      </c>
      <c r="AO85">
        <f t="shared" si="26"/>
        <v>4.7759154573353142E-5</v>
      </c>
      <c r="AQ85" t="s">
        <v>302</v>
      </c>
      <c r="AR85" t="s">
        <v>224</v>
      </c>
      <c r="AS85">
        <v>600</v>
      </c>
      <c r="AT85" s="1">
        <v>4.0590456803956697E-5</v>
      </c>
      <c r="AU85" s="1">
        <v>-2.4750670899933801E-6</v>
      </c>
      <c r="AV85" s="1">
        <v>4.7366400400696702E-8</v>
      </c>
      <c r="AW85">
        <f t="shared" si="28"/>
        <v>4.0665874935008217E-5</v>
      </c>
      <c r="AY85" t="s">
        <v>302</v>
      </c>
      <c r="AZ85" t="s">
        <v>224</v>
      </c>
      <c r="BA85">
        <v>800</v>
      </c>
      <c r="BB85">
        <v>1.8749969011838766E-5</v>
      </c>
      <c r="BD85">
        <f t="shared" si="36"/>
        <v>7.7461013331627031E-5</v>
      </c>
      <c r="BF85">
        <f t="shared" si="37"/>
        <v>8.4554292969971962E-5</v>
      </c>
      <c r="BH85">
        <f t="shared" si="29"/>
        <v>1.0647019889314141E-4</v>
      </c>
      <c r="BJ85">
        <f t="shared" si="30"/>
        <v>3.9604129973561976E-2</v>
      </c>
      <c r="BL85" s="1">
        <f t="shared" si="31"/>
        <v>5.0660775645057457E-2</v>
      </c>
      <c r="BN85">
        <f t="shared" si="32"/>
        <v>4.4575241741795613E-2</v>
      </c>
      <c r="BP85">
        <v>4.2550795552818146</v>
      </c>
      <c r="BQ85" s="4">
        <v>77.029999999999987</v>
      </c>
      <c r="BR85">
        <v>10.130000000000001</v>
      </c>
      <c r="BT85" s="1">
        <v>2.3377999999999999E-7</v>
      </c>
      <c r="BV85" s="11">
        <f t="shared" si="33"/>
        <v>4.0296076645685019</v>
      </c>
    </row>
    <row r="86" spans="1:74" x14ac:dyDescent="0.25">
      <c r="A86" t="s">
        <v>86</v>
      </c>
      <c r="B86" t="s">
        <v>5</v>
      </c>
      <c r="C86" s="1">
        <v>2.5799999999999998E-4</v>
      </c>
      <c r="D86">
        <v>1.5514973412803515E-9</v>
      </c>
      <c r="F86" t="s">
        <v>86</v>
      </c>
      <c r="G86" t="s">
        <v>6</v>
      </c>
      <c r="H86" s="1">
        <v>4.6900000000000002E-4</v>
      </c>
      <c r="I86">
        <v>2.8135246577913621E-9</v>
      </c>
      <c r="K86" t="s">
        <v>86</v>
      </c>
      <c r="L86" t="s">
        <v>7</v>
      </c>
      <c r="M86" s="1">
        <v>2.3800000000000001E-4</v>
      </c>
      <c r="N86">
        <v>1.4256247753178255E-9</v>
      </c>
      <c r="P86" t="s">
        <v>86</v>
      </c>
      <c r="Q86" t="s">
        <v>446</v>
      </c>
      <c r="R86">
        <v>2.4270418208180921E-9</v>
      </c>
      <c r="T86">
        <f t="shared" si="34"/>
        <v>-1.2620273165110106E-9</v>
      </c>
      <c r="V86" s="1">
        <f t="shared" si="35"/>
        <v>1.2587256596252603E-10</v>
      </c>
      <c r="X86">
        <f t="shared" si="27"/>
        <v>-8.7554447953774062E-10</v>
      </c>
      <c r="AA86" t="s">
        <v>303</v>
      </c>
      <c r="AB86" t="s">
        <v>224</v>
      </c>
      <c r="AC86">
        <v>350</v>
      </c>
      <c r="AD86" s="1">
        <v>1.2913912277928699E-4</v>
      </c>
      <c r="AE86" s="1">
        <v>-1.4714668200049599E-6</v>
      </c>
      <c r="AF86" s="1">
        <v>3.57073580041264E-6</v>
      </c>
      <c r="AG86">
        <f t="shared" si="25"/>
        <v>1.2919685909867348E-4</v>
      </c>
      <c r="AI86" t="s">
        <v>303</v>
      </c>
      <c r="AJ86" t="s">
        <v>224</v>
      </c>
      <c r="AK86">
        <v>550</v>
      </c>
      <c r="AL86" s="1">
        <v>4.93512524147294E-5</v>
      </c>
      <c r="AM86" s="1">
        <v>-1.24312129993383E-6</v>
      </c>
      <c r="AN86" s="1">
        <v>1.9282071998933902E-6</v>
      </c>
      <c r="AO86">
        <f t="shared" si="26"/>
        <v>4.9404548864192699E-5</v>
      </c>
      <c r="AQ86" t="s">
        <v>303</v>
      </c>
      <c r="AR86" t="s">
        <v>224</v>
      </c>
      <c r="AS86">
        <v>600</v>
      </c>
      <c r="AT86" s="1">
        <v>4.2511369691012497E-5</v>
      </c>
      <c r="AU86" s="1">
        <v>-8.9428750002481397E-7</v>
      </c>
      <c r="AV86" s="1">
        <v>2.2263441497987302E-6</v>
      </c>
      <c r="AW86">
        <f t="shared" si="28"/>
        <v>4.2579019615439474E-5</v>
      </c>
      <c r="AY86" t="s">
        <v>303</v>
      </c>
      <c r="AZ86" t="s">
        <v>224</v>
      </c>
      <c r="BA86">
        <v>800</v>
      </c>
      <c r="BB86">
        <v>2.0691732036468358E-5</v>
      </c>
      <c r="BD86">
        <f t="shared" si="36"/>
        <v>7.9792310234480789E-5</v>
      </c>
      <c r="BF86">
        <f t="shared" si="37"/>
        <v>8.6617839483234E-5</v>
      </c>
      <c r="BH86">
        <f t="shared" si="29"/>
        <v>1.0850512706220512E-4</v>
      </c>
      <c r="BJ86">
        <f t="shared" si="30"/>
        <v>-1.5816402768667408E-2</v>
      </c>
      <c r="BL86" s="1">
        <f t="shared" si="31"/>
        <v>1.4531944771826167E-3</v>
      </c>
      <c r="BN86">
        <f t="shared" si="32"/>
        <v>-8.0691530736220225E-3</v>
      </c>
      <c r="BP86">
        <v>0.83573042635254635</v>
      </c>
      <c r="BQ86" s="4">
        <v>77.049999999999983</v>
      </c>
      <c r="BR86">
        <v>10.62</v>
      </c>
      <c r="BT86" s="1">
        <v>2.3601000000000001E-7</v>
      </c>
      <c r="BV86" s="11">
        <f t="shared" si="33"/>
        <v>0.61900778936972145</v>
      </c>
    </row>
    <row r="87" spans="1:74" x14ac:dyDescent="0.25">
      <c r="A87" t="s">
        <v>87</v>
      </c>
      <c r="B87" t="s">
        <v>5</v>
      </c>
      <c r="C87" s="1">
        <v>1.06E-3</v>
      </c>
      <c r="D87">
        <v>6.3640710241165602E-9</v>
      </c>
      <c r="F87" t="s">
        <v>87</v>
      </c>
      <c r="G87" t="s">
        <v>6</v>
      </c>
      <c r="H87" s="1">
        <v>8.03E-4</v>
      </c>
      <c r="I87">
        <v>4.8137303622035165E-9</v>
      </c>
      <c r="K87" t="s">
        <v>87</v>
      </c>
      <c r="L87" t="s">
        <v>7</v>
      </c>
      <c r="M87" s="1">
        <v>7.4899999999999999E-4</v>
      </c>
      <c r="N87">
        <v>4.4943297609321013E-9</v>
      </c>
      <c r="P87" t="s">
        <v>87</v>
      </c>
      <c r="Q87" t="s">
        <v>446</v>
      </c>
      <c r="R87">
        <v>3.7016888037759197E-9</v>
      </c>
      <c r="T87">
        <f t="shared" si="34"/>
        <v>1.5503406619130436E-9</v>
      </c>
      <c r="V87" s="1">
        <f t="shared" si="35"/>
        <v>1.8697412631844589E-9</v>
      </c>
      <c r="X87">
        <f t="shared" si="27"/>
        <v>2.6623822203406404E-9</v>
      </c>
      <c r="AA87" t="s">
        <v>304</v>
      </c>
      <c r="AB87" t="s">
        <v>224</v>
      </c>
      <c r="AC87">
        <v>350</v>
      </c>
      <c r="AD87" s="1">
        <v>1.4995866069125201E-4</v>
      </c>
      <c r="AE87" s="1">
        <v>4.3690569999172902E-7</v>
      </c>
      <c r="AF87" s="1">
        <v>6.49314399774838E-7</v>
      </c>
      <c r="AG87">
        <f t="shared" si="25"/>
        <v>1.4996070289277286E-4</v>
      </c>
      <c r="AI87" t="s">
        <v>304</v>
      </c>
      <c r="AJ87" t="s">
        <v>224</v>
      </c>
      <c r="AK87">
        <v>550</v>
      </c>
      <c r="AL87" s="1">
        <v>5.7568213181461601E-5</v>
      </c>
      <c r="AM87" s="1">
        <v>8.5558026997187799E-7</v>
      </c>
      <c r="AN87" s="1">
        <v>-7.7143089972337196E-7</v>
      </c>
      <c r="AO87">
        <f t="shared" si="26"/>
        <v>5.7579738555655346E-5</v>
      </c>
      <c r="AQ87" t="s">
        <v>304</v>
      </c>
      <c r="AR87" t="s">
        <v>224</v>
      </c>
      <c r="AS87">
        <v>600</v>
      </c>
      <c r="AT87" s="1">
        <v>4.8670585430273398E-5</v>
      </c>
      <c r="AU87" s="1">
        <v>1.0314033599983501E-6</v>
      </c>
      <c r="AV87" s="1">
        <v>-7.3146549644335705E-8</v>
      </c>
      <c r="AW87">
        <f t="shared" si="28"/>
        <v>4.8681567655882671E-5</v>
      </c>
      <c r="AY87" t="s">
        <v>304</v>
      </c>
      <c r="AZ87" t="s">
        <v>224</v>
      </c>
      <c r="BA87">
        <v>800</v>
      </c>
      <c r="BB87">
        <v>2.0944364397766991E-5</v>
      </c>
      <c r="BD87">
        <f t="shared" si="36"/>
        <v>9.2380964337117517E-5</v>
      </c>
      <c r="BF87">
        <f t="shared" si="37"/>
        <v>1.0127913523689019E-4</v>
      </c>
      <c r="BH87">
        <f t="shared" si="29"/>
        <v>1.2901633849500587E-4</v>
      </c>
      <c r="BJ87">
        <f t="shared" si="30"/>
        <v>1.6782035920901685E-2</v>
      </c>
      <c r="BL87" s="1">
        <f t="shared" si="31"/>
        <v>1.8461268047077671E-2</v>
      </c>
      <c r="BN87">
        <f t="shared" si="32"/>
        <v>2.0636008209485031E-2</v>
      </c>
      <c r="BP87">
        <v>2.7564573295128478</v>
      </c>
      <c r="BQ87" s="3">
        <v>77.070000000000007</v>
      </c>
      <c r="BR87">
        <v>12.16</v>
      </c>
      <c r="BT87" s="1">
        <v>2.3092000000000001E-7</v>
      </c>
      <c r="BV87" s="11">
        <f t="shared" si="33"/>
        <v>2.2664173911179368</v>
      </c>
    </row>
    <row r="88" spans="1:74" x14ac:dyDescent="0.25">
      <c r="A88" t="s">
        <v>88</v>
      </c>
      <c r="B88" t="s">
        <v>5</v>
      </c>
      <c r="C88" s="1">
        <v>1.2600000000000001E-3</v>
      </c>
      <c r="D88">
        <v>7.5590872464868388E-9</v>
      </c>
      <c r="F88" t="s">
        <v>88</v>
      </c>
      <c r="G88" t="s">
        <v>6</v>
      </c>
      <c r="H88" s="1">
        <v>1.2899999999999999E-3</v>
      </c>
      <c r="I88">
        <v>7.7392376885582214E-9</v>
      </c>
      <c r="K88" t="s">
        <v>88</v>
      </c>
      <c r="L88" t="s">
        <v>7</v>
      </c>
      <c r="M88" s="1">
        <v>9.8999999999999999E-4</v>
      </c>
      <c r="N88">
        <v>5.9394444184620505E-9</v>
      </c>
      <c r="P88" t="s">
        <v>88</v>
      </c>
      <c r="Q88" t="s">
        <v>446</v>
      </c>
      <c r="R88">
        <v>4.329196692228247E-9</v>
      </c>
      <c r="T88">
        <f t="shared" si="34"/>
        <v>-1.8015044207138261E-10</v>
      </c>
      <c r="V88" s="1">
        <f t="shared" si="35"/>
        <v>1.6196428280247882E-9</v>
      </c>
      <c r="X88">
        <f t="shared" si="27"/>
        <v>3.2298905542585918E-9</v>
      </c>
      <c r="AA88" t="s">
        <v>305</v>
      </c>
      <c r="AB88" t="s">
        <v>224</v>
      </c>
      <c r="AC88">
        <v>350</v>
      </c>
      <c r="AD88" s="1">
        <v>1.3359297830558E-4</v>
      </c>
      <c r="AE88" s="1">
        <v>-1.8629303800115801E-6</v>
      </c>
      <c r="AF88" s="1">
        <v>2.8883636003428E-6</v>
      </c>
      <c r="AG88">
        <f t="shared" si="25"/>
        <v>1.33637184220724E-4</v>
      </c>
      <c r="AI88" t="s">
        <v>305</v>
      </c>
      <c r="AJ88" t="s">
        <v>224</v>
      </c>
      <c r="AK88">
        <v>550</v>
      </c>
      <c r="AL88" s="1">
        <v>4.9786161058571001E-5</v>
      </c>
      <c r="AM88" s="1">
        <v>1.90107020186931E-7</v>
      </c>
      <c r="AN88" s="1">
        <v>1.94720310021965E-6</v>
      </c>
      <c r="AO88">
        <f t="shared" si="26"/>
        <v>4.9824588041875484E-5</v>
      </c>
      <c r="AQ88" t="s">
        <v>305</v>
      </c>
      <c r="AR88" t="s">
        <v>224</v>
      </c>
      <c r="AS88">
        <v>600</v>
      </c>
      <c r="AT88" s="1">
        <v>4.1496096365858297E-5</v>
      </c>
      <c r="AU88" s="1">
        <v>-4.7001283991894201E-7</v>
      </c>
      <c r="AV88" s="1">
        <v>2.2196832498428501E-6</v>
      </c>
      <c r="AW88">
        <f t="shared" si="28"/>
        <v>4.1558078870466565E-5</v>
      </c>
      <c r="AY88" t="s">
        <v>305</v>
      </c>
      <c r="AZ88" t="s">
        <v>224</v>
      </c>
      <c r="BA88">
        <v>800</v>
      </c>
      <c r="BB88">
        <v>1.672422672702458E-5</v>
      </c>
      <c r="BD88">
        <f t="shared" si="36"/>
        <v>8.3812596178848507E-5</v>
      </c>
      <c r="BF88">
        <f t="shared" si="37"/>
        <v>9.2079105350257432E-5</v>
      </c>
      <c r="BH88">
        <f t="shared" si="29"/>
        <v>1.1691295749369942E-4</v>
      </c>
      <c r="BJ88">
        <f t="shared" si="30"/>
        <v>-2.1494435238225747E-3</v>
      </c>
      <c r="BL88" s="1">
        <f t="shared" si="31"/>
        <v>1.7589689016458934E-2</v>
      </c>
      <c r="BN88">
        <f t="shared" si="32"/>
        <v>2.7626454958447653E-2</v>
      </c>
      <c r="BP88">
        <v>3.4808973229283828</v>
      </c>
      <c r="BQ88" s="4">
        <v>77.09</v>
      </c>
      <c r="BR88">
        <v>11.53</v>
      </c>
      <c r="BT88" s="1">
        <v>2.3173E-7</v>
      </c>
      <c r="BV88" s="11">
        <f t="shared" si="33"/>
        <v>2.8291618230396507</v>
      </c>
    </row>
    <row r="89" spans="1:74" x14ac:dyDescent="0.25">
      <c r="A89" t="s">
        <v>89</v>
      </c>
      <c r="B89" t="s">
        <v>5</v>
      </c>
      <c r="C89" s="1">
        <v>1.1199999999999999E-3</v>
      </c>
      <c r="D89">
        <v>6.7223582171734952E-9</v>
      </c>
      <c r="F89" t="s">
        <v>89</v>
      </c>
      <c r="G89" t="s">
        <v>6</v>
      </c>
      <c r="H89" s="1">
        <v>6.0099999999999997E-4</v>
      </c>
      <c r="I89">
        <v>3.6103739418514531E-9</v>
      </c>
      <c r="K89" t="s">
        <v>89</v>
      </c>
      <c r="L89" t="s">
        <v>7</v>
      </c>
      <c r="M89" s="1">
        <v>5.9000000000000003E-4</v>
      </c>
      <c r="N89">
        <v>3.541934499676695E-9</v>
      </c>
      <c r="P89" t="s">
        <v>89</v>
      </c>
      <c r="Q89" t="s">
        <v>446</v>
      </c>
      <c r="R89">
        <v>2.6160932705085272E-9</v>
      </c>
      <c r="T89">
        <f t="shared" si="34"/>
        <v>3.111984275322042E-9</v>
      </c>
      <c r="V89" s="1">
        <f t="shared" si="35"/>
        <v>3.1804237174968002E-9</v>
      </c>
      <c r="X89">
        <f t="shared" si="27"/>
        <v>4.106264946664968E-9</v>
      </c>
      <c r="AA89" t="s">
        <v>306</v>
      </c>
      <c r="AB89" t="s">
        <v>224</v>
      </c>
      <c r="AC89">
        <v>350</v>
      </c>
      <c r="AD89" s="1">
        <v>1.1060937848186299E-4</v>
      </c>
      <c r="AE89" s="1">
        <v>-6.1988309003473899E-7</v>
      </c>
      <c r="AF89" s="1">
        <v>2.7322025033912199E-7</v>
      </c>
      <c r="AG89">
        <f t="shared" si="25"/>
        <v>1.1061145289930207E-4</v>
      </c>
      <c r="AI89" t="s">
        <v>306</v>
      </c>
      <c r="AJ89" t="s">
        <v>224</v>
      </c>
      <c r="AK89">
        <v>550</v>
      </c>
      <c r="AL89" s="1">
        <v>4.1801116192184897E-5</v>
      </c>
      <c r="AM89" s="1">
        <v>-1.13847116006452E-6</v>
      </c>
      <c r="AN89" s="1">
        <v>-1.7050670502766301E-6</v>
      </c>
      <c r="AO89">
        <f t="shared" si="26"/>
        <v>4.1851364196890646E-5</v>
      </c>
      <c r="AQ89" t="s">
        <v>306</v>
      </c>
      <c r="AR89" t="s">
        <v>224</v>
      </c>
      <c r="AS89">
        <v>600</v>
      </c>
      <c r="AT89" s="1">
        <v>3.3166406065365998E-5</v>
      </c>
      <c r="AU89" s="1">
        <v>-1.6303416200463201E-6</v>
      </c>
      <c r="AV89" s="1">
        <v>4.7415739981987002E-7</v>
      </c>
      <c r="AW89">
        <f t="shared" si="28"/>
        <v>3.3209837854626838E-5</v>
      </c>
      <c r="AY89" t="s">
        <v>306</v>
      </c>
      <c r="AZ89" t="s">
        <v>224</v>
      </c>
      <c r="BA89">
        <v>800</v>
      </c>
      <c r="BB89">
        <v>1.354840414213738E-5</v>
      </c>
      <c r="BD89">
        <f t="shared" si="36"/>
        <v>6.8760088702411422E-5</v>
      </c>
      <c r="BF89">
        <f t="shared" si="37"/>
        <v>7.7401615044675237E-5</v>
      </c>
      <c r="BH89">
        <f t="shared" si="29"/>
        <v>9.706304875716469E-5</v>
      </c>
      <c r="BJ89">
        <f t="shared" si="30"/>
        <v>4.5258584362659567E-2</v>
      </c>
      <c r="BL89" s="1">
        <f t="shared" si="31"/>
        <v>4.1089888313843317E-2</v>
      </c>
      <c r="BN89">
        <f t="shared" si="32"/>
        <v>4.2305130523337953E-2</v>
      </c>
      <c r="BP89">
        <v>3.8075029711209596</v>
      </c>
      <c r="BQ89" s="6">
        <v>77.11</v>
      </c>
      <c r="BR89">
        <v>9.4</v>
      </c>
      <c r="BT89" s="1">
        <v>2.1974000000000001E-7</v>
      </c>
      <c r="BV89" s="11">
        <f t="shared" si="33"/>
        <v>3.2545030089590865</v>
      </c>
    </row>
    <row r="90" spans="1:74" x14ac:dyDescent="0.25">
      <c r="A90" t="s">
        <v>90</v>
      </c>
      <c r="B90" t="s">
        <v>5</v>
      </c>
      <c r="C90" s="1">
        <v>2.5200000000000001E-3</v>
      </c>
      <c r="D90">
        <v>1.7614156238662129E-8</v>
      </c>
      <c r="F90" t="s">
        <v>90</v>
      </c>
      <c r="G90" t="s">
        <v>6</v>
      </c>
      <c r="H90" s="1">
        <v>1.8699999999999999E-3</v>
      </c>
      <c r="I90">
        <v>1.3092524584662807E-8</v>
      </c>
      <c r="K90" t="s">
        <v>90</v>
      </c>
      <c r="L90" t="s">
        <v>7</v>
      </c>
      <c r="M90" s="1">
        <v>1.7799999999999999E-3</v>
      </c>
      <c r="N90">
        <v>1.2459478319737146E-8</v>
      </c>
      <c r="P90" t="s">
        <v>90</v>
      </c>
      <c r="Q90" t="s">
        <v>446</v>
      </c>
      <c r="R90">
        <v>7.631461196913735E-9</v>
      </c>
      <c r="T90">
        <f t="shared" si="34"/>
        <v>4.5216316539993222E-9</v>
      </c>
      <c r="V90" s="1">
        <f t="shared" si="35"/>
        <v>5.1546779189249829E-9</v>
      </c>
      <c r="X90">
        <f t="shared" si="27"/>
        <v>9.982695041748394E-9</v>
      </c>
      <c r="AA90" t="s">
        <v>307</v>
      </c>
      <c r="AB90" t="s">
        <v>224</v>
      </c>
      <c r="AC90">
        <v>350</v>
      </c>
      <c r="AD90" s="1">
        <v>1.2444003963865601E-4</v>
      </c>
      <c r="AE90" s="1">
        <v>2.02661583013565E-6</v>
      </c>
      <c r="AF90" s="1">
        <v>-2.4793350027570901E-8</v>
      </c>
      <c r="AG90">
        <f t="shared" ref="AG90:AG121" si="38">SQRT(AD90^2+AE90^2+AF90^2)</f>
        <v>1.2445654362749852E-4</v>
      </c>
      <c r="AI90" t="s">
        <v>307</v>
      </c>
      <c r="AJ90" t="s">
        <v>224</v>
      </c>
      <c r="AK90">
        <v>550</v>
      </c>
      <c r="AL90" s="1">
        <v>4.77761348145436E-5</v>
      </c>
      <c r="AM90" s="1">
        <v>1.2768205198560801E-6</v>
      </c>
      <c r="AN90" s="1">
        <v>-9.2586510012958305E-7</v>
      </c>
      <c r="AO90">
        <f t="shared" ref="AO90:AO121" si="39">SQRT(AL90^2+AM90^2+AN90^2)</f>
        <v>4.7802160564570809E-5</v>
      </c>
      <c r="AQ90" t="s">
        <v>307</v>
      </c>
      <c r="AR90" t="s">
        <v>224</v>
      </c>
      <c r="AS90">
        <v>600</v>
      </c>
      <c r="AT90" s="1">
        <v>4.0092660208066902E-5</v>
      </c>
      <c r="AU90" s="1">
        <v>-4.8355667007940401E-7</v>
      </c>
      <c r="AV90" s="1">
        <v>-5.53594799799652E-7</v>
      </c>
      <c r="AW90">
        <f t="shared" si="28"/>
        <v>4.0099397711375352E-5</v>
      </c>
      <c r="AY90" t="s">
        <v>307</v>
      </c>
      <c r="AZ90" t="s">
        <v>224</v>
      </c>
      <c r="BA90">
        <v>800</v>
      </c>
      <c r="BB90">
        <v>1.7178350494495552E-5</v>
      </c>
      <c r="BD90">
        <f t="shared" si="36"/>
        <v>7.6654383062927707E-5</v>
      </c>
      <c r="BF90">
        <f t="shared" si="37"/>
        <v>8.4357145916123171E-5</v>
      </c>
      <c r="BH90">
        <f t="shared" si="29"/>
        <v>1.0727819313300296E-4</v>
      </c>
      <c r="BJ90">
        <f t="shared" si="30"/>
        <v>5.898725517479398E-2</v>
      </c>
      <c r="BL90" s="1">
        <f t="shared" si="31"/>
        <v>6.1105409185492246E-2</v>
      </c>
      <c r="BN90">
        <f t="shared" si="32"/>
        <v>9.3054280186951874E-2</v>
      </c>
      <c r="BP90">
        <v>7.7976430241948513</v>
      </c>
      <c r="BQ90" s="4">
        <v>77.13</v>
      </c>
      <c r="BR90">
        <v>10.7</v>
      </c>
      <c r="BT90" s="1">
        <v>2.2443999999999999E-7</v>
      </c>
      <c r="BV90" s="11">
        <f t="shared" si="33"/>
        <v>7.3346231778791209</v>
      </c>
    </row>
    <row r="91" spans="1:74" x14ac:dyDescent="0.25">
      <c r="A91" t="s">
        <v>91</v>
      </c>
      <c r="B91" t="s">
        <v>5</v>
      </c>
      <c r="C91" s="1">
        <v>1.8699999999999999E-3</v>
      </c>
      <c r="D91">
        <v>1.1217816186762912E-8</v>
      </c>
      <c r="F91" t="s">
        <v>91</v>
      </c>
      <c r="G91" t="s">
        <v>6</v>
      </c>
      <c r="H91" s="1">
        <v>1.1800000000000001E-3</v>
      </c>
      <c r="I91">
        <v>7.0784249660500042E-9</v>
      </c>
      <c r="K91" t="s">
        <v>91</v>
      </c>
      <c r="L91" t="s">
        <v>7</v>
      </c>
      <c r="M91" s="1">
        <v>7.0299999999999996E-4</v>
      </c>
      <c r="N91">
        <v>4.2199947867266371E-9</v>
      </c>
      <c r="P91" t="s">
        <v>91</v>
      </c>
      <c r="Q91" t="s">
        <v>446</v>
      </c>
      <c r="R91">
        <v>4.2229610464696452E-9</v>
      </c>
      <c r="T91">
        <f t="shared" si="34"/>
        <v>4.1393912207129083E-9</v>
      </c>
      <c r="V91" s="1">
        <f t="shared" si="35"/>
        <v>6.9978214000362754E-9</v>
      </c>
      <c r="X91">
        <f t="shared" si="27"/>
        <v>6.9948551402932672E-9</v>
      </c>
      <c r="AA91" t="s">
        <v>308</v>
      </c>
      <c r="AB91" t="s">
        <v>224</v>
      </c>
      <c r="AC91">
        <v>350</v>
      </c>
      <c r="AD91" s="1">
        <v>8.7939422356649396E-5</v>
      </c>
      <c r="AE91" s="1">
        <v>2.5373588399768398E-6</v>
      </c>
      <c r="AF91" s="1">
        <v>1.1198946503455599E-6</v>
      </c>
      <c r="AG91">
        <f t="shared" si="38"/>
        <v>8.7983148149698822E-5</v>
      </c>
      <c r="AI91" t="s">
        <v>308</v>
      </c>
      <c r="AJ91" t="s">
        <v>224</v>
      </c>
      <c r="AK91">
        <v>550</v>
      </c>
      <c r="AL91" s="1">
        <v>3.2565609430724097E-5</v>
      </c>
      <c r="AM91" s="1">
        <v>1.90188430999835E-6</v>
      </c>
      <c r="AN91" s="1">
        <v>-1.0694444958551801E-7</v>
      </c>
      <c r="AO91">
        <f t="shared" si="39"/>
        <v>3.2621274019240592E-5</v>
      </c>
      <c r="AQ91" t="s">
        <v>308</v>
      </c>
      <c r="AR91" t="s">
        <v>224</v>
      </c>
      <c r="AS91">
        <v>600</v>
      </c>
      <c r="AT91" s="1">
        <v>2.6915113863064799E-5</v>
      </c>
      <c r="AU91" s="1">
        <v>1.8780777601141401E-6</v>
      </c>
      <c r="AV91" s="1">
        <v>5.7296075004503196E-7</v>
      </c>
      <c r="AW91">
        <f t="shared" si="28"/>
        <v>2.6986641405626422E-5</v>
      </c>
      <c r="AY91" t="s">
        <v>308</v>
      </c>
      <c r="AZ91" t="s">
        <v>224</v>
      </c>
      <c r="BA91">
        <v>800</v>
      </c>
      <c r="BB91">
        <v>1.0582643918845737E-5</v>
      </c>
      <c r="BD91">
        <f t="shared" si="36"/>
        <v>5.5361874130458231E-5</v>
      </c>
      <c r="BF91">
        <f t="shared" si="37"/>
        <v>6.09965067440724E-5</v>
      </c>
      <c r="BH91">
        <f t="shared" si="29"/>
        <v>7.7400504230853087E-5</v>
      </c>
      <c r="BJ91">
        <f t="shared" si="30"/>
        <v>7.4769709041254351E-2</v>
      </c>
      <c r="BL91" s="1">
        <f t="shared" si="31"/>
        <v>0.11472495350262528</v>
      </c>
      <c r="BN91">
        <f t="shared" si="32"/>
        <v>9.0372216690353363E-2</v>
      </c>
      <c r="BP91">
        <v>6.9540338136959763</v>
      </c>
      <c r="BQ91" s="4">
        <v>77.149999999999991</v>
      </c>
      <c r="BR91">
        <v>7.71</v>
      </c>
      <c r="BT91" s="1">
        <v>2.2609000000000001E-7</v>
      </c>
      <c r="BV91" s="11">
        <f t="shared" si="33"/>
        <v>6.4353561591795838</v>
      </c>
    </row>
    <row r="92" spans="1:74" x14ac:dyDescent="0.25">
      <c r="A92" t="s">
        <v>92</v>
      </c>
      <c r="B92" t="s">
        <v>5</v>
      </c>
      <c r="C92" s="1">
        <v>1.8799999999999999E-3</v>
      </c>
      <c r="D92">
        <v>1.1274103068537203E-8</v>
      </c>
      <c r="F92" t="s">
        <v>92</v>
      </c>
      <c r="G92" t="s">
        <v>6</v>
      </c>
      <c r="H92" s="1">
        <v>1.57E-3</v>
      </c>
      <c r="I92">
        <v>9.418833817941582E-9</v>
      </c>
      <c r="K92" t="s">
        <v>92</v>
      </c>
      <c r="L92" t="s">
        <v>7</v>
      </c>
      <c r="M92" s="1">
        <v>1.58E-3</v>
      </c>
      <c r="N92">
        <v>9.4810162429984274E-9</v>
      </c>
      <c r="P92" t="s">
        <v>92</v>
      </c>
      <c r="Q92" t="s">
        <v>446</v>
      </c>
      <c r="R92">
        <v>6.0594264943144578E-9</v>
      </c>
      <c r="T92">
        <f t="shared" si="34"/>
        <v>1.855269250595621E-9</v>
      </c>
      <c r="V92" s="1">
        <f t="shared" si="35"/>
        <v>1.7930868255387757E-9</v>
      </c>
      <c r="X92">
        <f t="shared" si="27"/>
        <v>5.2146765742227453E-9</v>
      </c>
      <c r="AA92" t="s">
        <v>309</v>
      </c>
      <c r="AB92" t="s">
        <v>224</v>
      </c>
      <c r="AC92">
        <v>350</v>
      </c>
      <c r="AD92" s="1">
        <v>1.40407033630145E-4</v>
      </c>
      <c r="AE92" s="1">
        <v>1.42740619971878E-7</v>
      </c>
      <c r="AF92" s="1">
        <v>5.0534028004291897E-6</v>
      </c>
      <c r="AG92">
        <f t="shared" si="38"/>
        <v>1.4049801545774462E-4</v>
      </c>
      <c r="AI92" t="s">
        <v>309</v>
      </c>
      <c r="AJ92" t="s">
        <v>224</v>
      </c>
      <c r="AK92">
        <v>550</v>
      </c>
      <c r="AL92" s="1">
        <v>5.3627102304587301E-5</v>
      </c>
      <c r="AM92" s="1">
        <v>-6.5474180019850997E-8</v>
      </c>
      <c r="AN92" s="1">
        <v>2.8323627004595099E-6</v>
      </c>
      <c r="AO92">
        <f t="shared" si="39"/>
        <v>5.3701886995913621E-5</v>
      </c>
      <c r="AQ92" t="s">
        <v>309</v>
      </c>
      <c r="AR92" t="s">
        <v>224</v>
      </c>
      <c r="AS92">
        <v>600</v>
      </c>
      <c r="AT92" s="1">
        <v>4.4594853654551798E-5</v>
      </c>
      <c r="AU92" s="1">
        <v>-3.6195823999338299E-7</v>
      </c>
      <c r="AV92" s="1">
        <v>3.24891565045768E-6</v>
      </c>
      <c r="AW92">
        <f t="shared" si="28"/>
        <v>4.4714510386922273E-5</v>
      </c>
      <c r="AY92" t="s">
        <v>309</v>
      </c>
      <c r="AZ92" t="s">
        <v>224</v>
      </c>
      <c r="BA92">
        <v>800</v>
      </c>
      <c r="BB92">
        <v>1.8883789292673509E-5</v>
      </c>
      <c r="BD92">
        <f t="shared" si="36"/>
        <v>8.6796128461831003E-5</v>
      </c>
      <c r="BF92">
        <f t="shared" si="37"/>
        <v>9.5783505070822352E-5</v>
      </c>
      <c r="BH92">
        <f t="shared" si="29"/>
        <v>1.2161422616507111E-4</v>
      </c>
      <c r="BJ92">
        <f t="shared" si="30"/>
        <v>2.1375023096928618E-2</v>
      </c>
      <c r="BL92" s="1">
        <f t="shared" si="31"/>
        <v>1.8720204738936697E-2</v>
      </c>
      <c r="BN92">
        <f t="shared" si="32"/>
        <v>4.2878836947452911E-2</v>
      </c>
      <c r="BP92">
        <v>4.5712443368408486</v>
      </c>
      <c r="BQ92" s="3">
        <v>77.17</v>
      </c>
      <c r="BR92">
        <v>11.67</v>
      </c>
      <c r="BT92" s="1">
        <v>2.2902E-7</v>
      </c>
      <c r="BV92" s="11">
        <f t="shared" si="33"/>
        <v>4.2183026371885077</v>
      </c>
    </row>
    <row r="93" spans="1:74" x14ac:dyDescent="0.25">
      <c r="A93" t="s">
        <v>93</v>
      </c>
      <c r="B93" t="s">
        <v>5</v>
      </c>
      <c r="C93" s="1">
        <v>1.8400000000000001E-3</v>
      </c>
      <c r="D93">
        <v>1.1043649759024414E-8</v>
      </c>
      <c r="F93" t="s">
        <v>93</v>
      </c>
      <c r="G93" t="s">
        <v>6</v>
      </c>
      <c r="H93" s="1">
        <v>1.3600000000000001E-3</v>
      </c>
      <c r="I93">
        <v>8.1598835776008466E-9</v>
      </c>
      <c r="K93" t="s">
        <v>93</v>
      </c>
      <c r="L93" t="s">
        <v>7</v>
      </c>
      <c r="M93" s="1">
        <v>1.15E-3</v>
      </c>
      <c r="N93">
        <v>6.8979852130893997E-9</v>
      </c>
      <c r="P93" t="s">
        <v>93</v>
      </c>
      <c r="Q93" t="s">
        <v>446</v>
      </c>
      <c r="R93">
        <v>4.9899298592264804E-9</v>
      </c>
      <c r="T93">
        <f t="shared" si="34"/>
        <v>2.8837661814235677E-9</v>
      </c>
      <c r="V93" s="1">
        <f t="shared" si="35"/>
        <v>4.1456645459350146E-9</v>
      </c>
      <c r="X93">
        <f t="shared" si="27"/>
        <v>6.0537198997979339E-9</v>
      </c>
      <c r="AA93" t="s">
        <v>310</v>
      </c>
      <c r="AB93" t="s">
        <v>224</v>
      </c>
      <c r="AC93">
        <v>350</v>
      </c>
      <c r="AD93" s="1">
        <v>1.2472812128210001E-4</v>
      </c>
      <c r="AE93" s="1">
        <v>-1.8758574600976E-6</v>
      </c>
      <c r="AF93" s="1">
        <v>4.6255016500027603E-6</v>
      </c>
      <c r="AG93">
        <f t="shared" si="38"/>
        <v>1.2482795498319689E-4</v>
      </c>
      <c r="AI93" t="s">
        <v>310</v>
      </c>
      <c r="AJ93" t="s">
        <v>224</v>
      </c>
      <c r="AK93">
        <v>550</v>
      </c>
      <c r="AL93" s="1">
        <v>4.5773449898106701E-5</v>
      </c>
      <c r="AM93" s="1">
        <v>-1.24849936000662E-6</v>
      </c>
      <c r="AN93" s="1">
        <v>7.16910200520171E-7</v>
      </c>
      <c r="AO93">
        <f t="shared" si="39"/>
        <v>4.57960852744209E-5</v>
      </c>
      <c r="AQ93" t="s">
        <v>310</v>
      </c>
      <c r="AR93" t="s">
        <v>224</v>
      </c>
      <c r="AS93">
        <v>600</v>
      </c>
      <c r="AT93" s="1">
        <v>3.8807614373591101E-5</v>
      </c>
      <c r="AU93" s="1">
        <v>-1.2420358199966901E-6</v>
      </c>
      <c r="AV93" s="1">
        <v>1.5688886505109801E-6</v>
      </c>
      <c r="AW93">
        <f t="shared" si="28"/>
        <v>3.8859168775788445E-5</v>
      </c>
      <c r="AY93" t="s">
        <v>310</v>
      </c>
      <c r="AZ93" t="s">
        <v>224</v>
      </c>
      <c r="BA93">
        <v>800</v>
      </c>
      <c r="BB93">
        <v>1.5726928009708001E-5</v>
      </c>
      <c r="BD93">
        <f t="shared" si="36"/>
        <v>7.9031869708775994E-5</v>
      </c>
      <c r="BF93">
        <f t="shared" si="37"/>
        <v>8.5968786207408449E-5</v>
      </c>
      <c r="BH93">
        <f t="shared" si="29"/>
        <v>1.091010269734889E-4</v>
      </c>
      <c r="BJ93">
        <f t="shared" si="30"/>
        <v>3.6488649351836648E-2</v>
      </c>
      <c r="BL93" s="1">
        <f t="shared" si="31"/>
        <v>4.8222904251936011E-2</v>
      </c>
      <c r="BN93">
        <f t="shared" si="32"/>
        <v>5.5487286121229301E-2</v>
      </c>
      <c r="BP93">
        <v>5.0303447896680389</v>
      </c>
      <c r="BQ93" s="4">
        <v>77.19</v>
      </c>
      <c r="BR93">
        <v>9.9700000000000006</v>
      </c>
      <c r="BT93" s="1">
        <v>2.3888999999999999E-7</v>
      </c>
      <c r="BV93" s="11">
        <f t="shared" si="33"/>
        <v>4.6368120893403191</v>
      </c>
    </row>
    <row r="94" spans="1:74" x14ac:dyDescent="0.25">
      <c r="A94" t="s">
        <v>94</v>
      </c>
      <c r="B94" t="s">
        <v>5</v>
      </c>
      <c r="C94" s="1">
        <v>1.3799999999999999E-3</v>
      </c>
      <c r="D94">
        <v>9.6539443234358883E-9</v>
      </c>
      <c r="F94" t="s">
        <v>94</v>
      </c>
      <c r="G94" t="s">
        <v>6</v>
      </c>
      <c r="H94" s="1">
        <v>9.7300000000000002E-4</v>
      </c>
      <c r="I94">
        <v>6.8102469852421652E-9</v>
      </c>
      <c r="K94" t="s">
        <v>94</v>
      </c>
      <c r="L94" t="s">
        <v>7</v>
      </c>
      <c r="M94" s="1">
        <v>9.1699999999999995E-4</v>
      </c>
      <c r="N94">
        <v>6.4215528495839696E-9</v>
      </c>
      <c r="P94" t="s">
        <v>94</v>
      </c>
      <c r="Q94" t="s">
        <v>446</v>
      </c>
      <c r="R94">
        <v>6.3189971514473718E-9</v>
      </c>
      <c r="T94">
        <f t="shared" si="34"/>
        <v>2.8436973381937231E-9</v>
      </c>
      <c r="V94" s="1">
        <f t="shared" si="35"/>
        <v>3.2323914738519187E-9</v>
      </c>
      <c r="X94">
        <f t="shared" si="27"/>
        <v>3.3349471719885165E-9</v>
      </c>
      <c r="AA94" t="s">
        <v>311</v>
      </c>
      <c r="AB94" t="s">
        <v>224</v>
      </c>
      <c r="AC94">
        <v>350</v>
      </c>
      <c r="AD94" s="1">
        <v>1.2401026107321001E-4</v>
      </c>
      <c r="AE94" s="1">
        <v>-5.8714599991728702E-8</v>
      </c>
      <c r="AF94" s="1">
        <v>2.6246413004861699E-6</v>
      </c>
      <c r="AG94">
        <f t="shared" si="38"/>
        <v>1.2403804674698072E-4</v>
      </c>
      <c r="AI94" t="s">
        <v>311</v>
      </c>
      <c r="AJ94" t="s">
        <v>224</v>
      </c>
      <c r="AK94">
        <v>550</v>
      </c>
      <c r="AL94" s="1">
        <v>4.7724258873668201E-5</v>
      </c>
      <c r="AM94" s="1">
        <v>6.6581862999503699E-7</v>
      </c>
      <c r="AN94" s="1">
        <v>2.2622390004733001E-6</v>
      </c>
      <c r="AO94">
        <f t="shared" si="39"/>
        <v>4.7782485544226439E-5</v>
      </c>
      <c r="AQ94" t="s">
        <v>311</v>
      </c>
      <c r="AR94" t="s">
        <v>224</v>
      </c>
      <c r="AS94">
        <v>600</v>
      </c>
      <c r="AT94" s="1">
        <v>4.0730650048636499E-5</v>
      </c>
      <c r="AU94" s="1">
        <v>2.9855634000992601E-7</v>
      </c>
      <c r="AV94" s="1">
        <v>2.0883155004852498E-6</v>
      </c>
      <c r="AW94">
        <f t="shared" si="28"/>
        <v>4.0785243053121795E-5</v>
      </c>
      <c r="AY94" t="s">
        <v>311</v>
      </c>
      <c r="AZ94" t="s">
        <v>224</v>
      </c>
      <c r="BA94">
        <v>800</v>
      </c>
      <c r="BB94">
        <v>1.8681601036515851E-5</v>
      </c>
      <c r="BD94">
        <f t="shared" si="36"/>
        <v>7.6255561202754279E-5</v>
      </c>
      <c r="BF94">
        <f t="shared" si="37"/>
        <v>8.3252803693858936E-5</v>
      </c>
      <c r="BH94">
        <f t="shared" si="29"/>
        <v>1.0535644571046487E-4</v>
      </c>
      <c r="BJ94">
        <f t="shared" si="30"/>
        <v>3.7291671497016163E-2</v>
      </c>
      <c r="BL94" s="1">
        <f t="shared" si="31"/>
        <v>3.8826217621909985E-2</v>
      </c>
      <c r="BN94">
        <f t="shared" si="32"/>
        <v>3.1653945323416144E-2</v>
      </c>
      <c r="BP94">
        <v>4.0471493486472223</v>
      </c>
      <c r="BQ94" s="4">
        <v>77.209999999999994</v>
      </c>
      <c r="BR94">
        <v>9.8699999999999992</v>
      </c>
      <c r="BT94" s="1">
        <v>2.3307000000000001E-7</v>
      </c>
      <c r="BV94" s="11">
        <f t="shared" si="33"/>
        <v>4.1966356053137908</v>
      </c>
    </row>
    <row r="95" spans="1:74" x14ac:dyDescent="0.25">
      <c r="A95" t="s">
        <v>95</v>
      </c>
      <c r="B95" t="s">
        <v>5</v>
      </c>
      <c r="C95" s="1">
        <v>2.2599999999999999E-3</v>
      </c>
      <c r="D95">
        <v>1.5792507717268972E-8</v>
      </c>
      <c r="F95" t="s">
        <v>95</v>
      </c>
      <c r="G95" t="s">
        <v>6</v>
      </c>
      <c r="H95" s="1">
        <v>1.82E-3</v>
      </c>
      <c r="I95">
        <v>1.273786873852922E-8</v>
      </c>
      <c r="K95" t="s">
        <v>95</v>
      </c>
      <c r="L95" t="s">
        <v>7</v>
      </c>
      <c r="M95" s="1">
        <v>1.57E-3</v>
      </c>
      <c r="N95">
        <v>1.0993773510492198E-8</v>
      </c>
      <c r="P95" t="s">
        <v>95</v>
      </c>
      <c r="Q95" t="s">
        <v>446</v>
      </c>
      <c r="R95">
        <v>9.1675569264662864E-9</v>
      </c>
      <c r="T95">
        <f t="shared" si="34"/>
        <v>3.0546389787397516E-9</v>
      </c>
      <c r="V95" s="1">
        <f t="shared" si="35"/>
        <v>4.7987342067767733E-9</v>
      </c>
      <c r="X95">
        <f t="shared" si="27"/>
        <v>6.6249507908026853E-9</v>
      </c>
      <c r="AA95" t="s">
        <v>312</v>
      </c>
      <c r="AB95" t="s">
        <v>224</v>
      </c>
      <c r="AC95">
        <v>350</v>
      </c>
      <c r="AD95" s="1">
        <v>1.17039118547694E-4</v>
      </c>
      <c r="AE95" s="1">
        <v>3.3980457997022298E-7</v>
      </c>
      <c r="AF95" s="1">
        <v>2.8978615505054702E-6</v>
      </c>
      <c r="AG95">
        <f t="shared" si="38"/>
        <v>1.1707548137479357E-4</v>
      </c>
      <c r="AI95" t="s">
        <v>312</v>
      </c>
      <c r="AJ95" t="s">
        <v>224</v>
      </c>
      <c r="AK95">
        <v>550</v>
      </c>
      <c r="AL95" s="1">
        <v>4.07569196979051E-5</v>
      </c>
      <c r="AM95" s="1">
        <v>3.01270039985112E-7</v>
      </c>
      <c r="AN95" s="1">
        <v>2.9188310505339599E-6</v>
      </c>
      <c r="AO95">
        <f t="shared" si="39"/>
        <v>4.0862413555736507E-5</v>
      </c>
      <c r="AQ95" t="s">
        <v>312</v>
      </c>
      <c r="AR95" t="s">
        <v>224</v>
      </c>
      <c r="AS95">
        <v>600</v>
      </c>
      <c r="AT95" s="1">
        <v>3.5367528522632203E-5</v>
      </c>
      <c r="AU95" s="1">
        <v>-2.51979380019851E-7</v>
      </c>
      <c r="AV95" s="1">
        <v>2.3197201005459001E-6</v>
      </c>
      <c r="AW95">
        <f t="shared" si="28"/>
        <v>3.5444416608995472E-5</v>
      </c>
      <c r="AY95" t="s">
        <v>312</v>
      </c>
      <c r="AZ95" t="s">
        <v>224</v>
      </c>
      <c r="BA95">
        <v>800</v>
      </c>
      <c r="BB95">
        <v>1.4687660951351483E-5</v>
      </c>
      <c r="BD95">
        <f t="shared" si="36"/>
        <v>7.6213067819057062E-5</v>
      </c>
      <c r="BF95">
        <f t="shared" si="37"/>
        <v>8.163106476579809E-5</v>
      </c>
      <c r="BH95">
        <f t="shared" si="29"/>
        <v>1.0238782042344208E-4</v>
      </c>
      <c r="BJ95">
        <f t="shared" si="30"/>
        <v>4.0080252194964652E-2</v>
      </c>
      <c r="BL95" s="1">
        <f t="shared" si="31"/>
        <v>5.8785637802771309E-2</v>
      </c>
      <c r="BN95">
        <f t="shared" si="32"/>
        <v>6.4704481093591851E-2</v>
      </c>
      <c r="BP95">
        <v>7.2466072219200139</v>
      </c>
      <c r="BQ95" s="4">
        <v>77.22999999999999</v>
      </c>
      <c r="BR95">
        <v>9.7200000000000006</v>
      </c>
      <c r="BT95" s="1">
        <v>2.34E-7</v>
      </c>
      <c r="BV95" s="11">
        <f t="shared" si="33"/>
        <v>6.9433486850924035</v>
      </c>
    </row>
    <row r="96" spans="1:74" x14ac:dyDescent="0.25">
      <c r="A96" t="s">
        <v>96</v>
      </c>
      <c r="B96" t="s">
        <v>5</v>
      </c>
      <c r="C96" s="1">
        <v>2.3800000000000002E-3</v>
      </c>
      <c r="D96">
        <v>1.6628551500356247E-8</v>
      </c>
      <c r="F96" t="s">
        <v>96</v>
      </c>
      <c r="G96" t="s">
        <v>6</v>
      </c>
      <c r="H96" s="1">
        <v>1.9599999999999999E-3</v>
      </c>
      <c r="I96">
        <v>1.3731882609460365E-8</v>
      </c>
      <c r="K96" t="s">
        <v>96</v>
      </c>
      <c r="L96" t="s">
        <v>7</v>
      </c>
      <c r="M96" s="1">
        <v>2.0100000000000001E-3</v>
      </c>
      <c r="N96">
        <v>1.4100797849767226E-8</v>
      </c>
      <c r="P96" t="s">
        <v>96</v>
      </c>
      <c r="Q96" t="s">
        <v>446</v>
      </c>
      <c r="R96">
        <v>1.0148314934017371E-8</v>
      </c>
      <c r="T96">
        <f t="shared" si="34"/>
        <v>2.8966688908958828E-9</v>
      </c>
      <c r="V96" s="1">
        <f t="shared" si="35"/>
        <v>2.5277536505890217E-9</v>
      </c>
      <c r="X96">
        <f t="shared" si="27"/>
        <v>6.480236566338876E-9</v>
      </c>
      <c r="AA96" t="s">
        <v>313</v>
      </c>
      <c r="AB96" t="s">
        <v>224</v>
      </c>
      <c r="AC96">
        <v>350</v>
      </c>
      <c r="AD96" s="1">
        <v>1.25368145473229E-4</v>
      </c>
      <c r="AE96" s="1">
        <v>5.7488500996526099E-7</v>
      </c>
      <c r="AF96" s="1">
        <v>4.2001908504604298E-6</v>
      </c>
      <c r="AG96">
        <f t="shared" si="38"/>
        <v>1.2543980227723448E-4</v>
      </c>
      <c r="AI96" t="s">
        <v>313</v>
      </c>
      <c r="AJ96" t="s">
        <v>224</v>
      </c>
      <c r="AK96">
        <v>550</v>
      </c>
      <c r="AL96" s="1">
        <v>4.5691456748266799E-5</v>
      </c>
      <c r="AM96" s="1">
        <v>6.2400298001985105E-7</v>
      </c>
      <c r="AN96" s="1">
        <v>2.3104688505109799E-6</v>
      </c>
      <c r="AO96">
        <f t="shared" si="39"/>
        <v>4.5754091246652367E-5</v>
      </c>
      <c r="AQ96" t="s">
        <v>313</v>
      </c>
      <c r="AR96" t="s">
        <v>224</v>
      </c>
      <c r="AS96">
        <v>600</v>
      </c>
      <c r="AT96" s="1">
        <v>3.9359675048656297E-5</v>
      </c>
      <c r="AU96" s="1">
        <v>1.3999978299867701E-6</v>
      </c>
      <c r="AV96" s="1">
        <v>2.4410965004779E-6</v>
      </c>
      <c r="AW96">
        <f t="shared" si="28"/>
        <v>3.9460144018799909E-5</v>
      </c>
      <c r="AY96" t="s">
        <v>313</v>
      </c>
      <c r="AZ96" t="s">
        <v>224</v>
      </c>
      <c r="BA96">
        <v>800</v>
      </c>
      <c r="BB96">
        <v>1.4978080279679131E-5</v>
      </c>
      <c r="BD96">
        <f t="shared" si="36"/>
        <v>7.9685711030582116E-5</v>
      </c>
      <c r="BF96">
        <f t="shared" si="37"/>
        <v>8.5979658258434575E-5</v>
      </c>
      <c r="BH96">
        <f t="shared" si="29"/>
        <v>1.1046172199755534E-4</v>
      </c>
      <c r="BJ96">
        <f t="shared" si="30"/>
        <v>3.6351170786242809E-2</v>
      </c>
      <c r="BL96" s="1">
        <f t="shared" si="31"/>
        <v>2.9399438213527092E-2</v>
      </c>
      <c r="BN96">
        <f t="shared" si="32"/>
        <v>5.8664996789406308E-2</v>
      </c>
      <c r="BP96">
        <v>7.0347007959816032</v>
      </c>
      <c r="BQ96" s="4">
        <v>77.249999999999986</v>
      </c>
      <c r="BR96">
        <v>10.47</v>
      </c>
      <c r="BT96" s="1">
        <v>2.3526999999999999E-7</v>
      </c>
      <c r="BV96" s="11">
        <f t="shared" si="33"/>
        <v>6.7505815121134969</v>
      </c>
    </row>
    <row r="97" spans="1:74" x14ac:dyDescent="0.25">
      <c r="A97" t="s">
        <v>97</v>
      </c>
      <c r="B97" t="s">
        <v>5</v>
      </c>
      <c r="C97" s="1">
        <v>3.7599999999999999E-3</v>
      </c>
      <c r="D97">
        <v>2.2554380949163736E-8</v>
      </c>
      <c r="F97" t="s">
        <v>97</v>
      </c>
      <c r="G97" t="s">
        <v>6</v>
      </c>
      <c r="H97" s="1">
        <v>2.8E-3</v>
      </c>
      <c r="I97">
        <v>1.6862668827916893E-8</v>
      </c>
      <c r="K97" t="s">
        <v>97</v>
      </c>
      <c r="L97" t="s">
        <v>7</v>
      </c>
      <c r="M97" s="1">
        <v>2.7699999999999999E-3</v>
      </c>
      <c r="N97">
        <v>1.6598339947115194E-8</v>
      </c>
      <c r="P97" t="s">
        <v>97</v>
      </c>
      <c r="Q97" t="s">
        <v>446</v>
      </c>
      <c r="R97">
        <v>1.2356897709376736E-8</v>
      </c>
      <c r="T97">
        <f t="shared" si="34"/>
        <v>5.6917121212468436E-9</v>
      </c>
      <c r="V97" s="1">
        <f t="shared" si="35"/>
        <v>5.9560410020485429E-9</v>
      </c>
      <c r="X97">
        <f t="shared" si="27"/>
        <v>1.0197483239787001E-8</v>
      </c>
      <c r="AA97" t="s">
        <v>314</v>
      </c>
      <c r="AB97" t="s">
        <v>224</v>
      </c>
      <c r="AC97">
        <v>350</v>
      </c>
      <c r="AD97" s="1">
        <v>1.4707611939881801E-4</v>
      </c>
      <c r="AE97" s="1">
        <v>4.4909268000330897E-7</v>
      </c>
      <c r="AF97" s="1">
        <v>5.9964135504558402E-6</v>
      </c>
      <c r="AG97">
        <f t="shared" si="38"/>
        <v>1.4719899305742107E-4</v>
      </c>
      <c r="AI97" t="s">
        <v>314</v>
      </c>
      <c r="AJ97" t="s">
        <v>224</v>
      </c>
      <c r="AK97">
        <v>550</v>
      </c>
      <c r="AL97" s="1">
        <v>5.4013717260346399E-5</v>
      </c>
      <c r="AM97" s="1">
        <v>1.3494983399851101E-6</v>
      </c>
      <c r="AN97" s="1">
        <v>4.43924314982998E-6</v>
      </c>
      <c r="AO97">
        <f t="shared" si="39"/>
        <v>5.4212633931525385E-5</v>
      </c>
      <c r="AQ97" t="s">
        <v>314</v>
      </c>
      <c r="AR97" t="s">
        <v>224</v>
      </c>
      <c r="AS97">
        <v>600</v>
      </c>
      <c r="AT97" s="1">
        <v>4.5154742159658397E-5</v>
      </c>
      <c r="AU97" s="1">
        <v>8.5498818995202703E-7</v>
      </c>
      <c r="AV97" s="1">
        <v>5.2739525998557103E-6</v>
      </c>
      <c r="AW97">
        <f t="shared" si="28"/>
        <v>4.5469729714786231E-5</v>
      </c>
      <c r="AY97" t="s">
        <v>314</v>
      </c>
      <c r="AZ97" t="s">
        <v>224</v>
      </c>
      <c r="BA97">
        <v>800</v>
      </c>
      <c r="BB97">
        <v>1.9589351951917807E-5</v>
      </c>
      <c r="BD97">
        <f t="shared" si="36"/>
        <v>9.2986359125895682E-5</v>
      </c>
      <c r="BF97">
        <f t="shared" si="37"/>
        <v>1.0172926334263484E-4</v>
      </c>
      <c r="BH97">
        <f t="shared" si="29"/>
        <v>1.2760964110550326E-4</v>
      </c>
      <c r="BJ97">
        <f t="shared" si="30"/>
        <v>6.1210183673723002E-2</v>
      </c>
      <c r="BL97" s="1">
        <f t="shared" si="31"/>
        <v>5.8547961582971181E-2</v>
      </c>
      <c r="BN97">
        <f t="shared" si="32"/>
        <v>7.9911542352478465E-2</v>
      </c>
      <c r="BP97">
        <v>9.1509053478241107</v>
      </c>
      <c r="BQ97" s="4">
        <v>77.269999999999982</v>
      </c>
      <c r="BR97">
        <v>11.51</v>
      </c>
      <c r="BT97" s="1">
        <v>2.3900000000000001E-7</v>
      </c>
      <c r="BV97" s="11">
        <f t="shared" si="33"/>
        <v>8.1989395974261914</v>
      </c>
    </row>
    <row r="98" spans="1:74" x14ac:dyDescent="0.25">
      <c r="A98" t="s">
        <v>98</v>
      </c>
      <c r="B98" t="s">
        <v>5</v>
      </c>
      <c r="C98" s="1">
        <v>5.8E-4</v>
      </c>
      <c r="D98">
        <v>3.483243109517336E-9</v>
      </c>
      <c r="F98" t="s">
        <v>98</v>
      </c>
      <c r="G98" t="s">
        <v>6</v>
      </c>
      <c r="H98" s="1">
        <v>4.2499999999999998E-4</v>
      </c>
      <c r="I98">
        <v>2.5546727774805131E-9</v>
      </c>
      <c r="K98" t="s">
        <v>98</v>
      </c>
      <c r="L98" t="s">
        <v>7</v>
      </c>
      <c r="M98" s="1">
        <v>3.0299999999999999E-4</v>
      </c>
      <c r="N98">
        <v>1.8181169406834095E-9</v>
      </c>
      <c r="P98" t="s">
        <v>98</v>
      </c>
      <c r="Q98" t="s">
        <v>446</v>
      </c>
      <c r="R98">
        <v>1.8742518507393824E-10</v>
      </c>
      <c r="T98">
        <f t="shared" si="34"/>
        <v>9.2857033203682292E-10</v>
      </c>
      <c r="V98" s="1">
        <f t="shared" si="35"/>
        <v>1.6651261688339265E-9</v>
      </c>
      <c r="X98">
        <f t="shared" si="27"/>
        <v>3.2958179244433977E-9</v>
      </c>
      <c r="AA98" t="s">
        <v>315</v>
      </c>
      <c r="AB98" t="s">
        <v>224</v>
      </c>
      <c r="AC98">
        <v>350</v>
      </c>
      <c r="AD98" s="1">
        <v>9.5397791708958505E-5</v>
      </c>
      <c r="AE98" s="1">
        <v>-1.8115921100148899E-6</v>
      </c>
      <c r="AF98" s="1">
        <v>3.45429339981895E-6</v>
      </c>
      <c r="AG98">
        <f t="shared" si="38"/>
        <v>9.5477498248597471E-5</v>
      </c>
      <c r="AI98" t="s">
        <v>315</v>
      </c>
      <c r="AJ98" t="s">
        <v>224</v>
      </c>
      <c r="AK98">
        <v>550</v>
      </c>
      <c r="AL98" s="1">
        <v>3.6407479399931501E-5</v>
      </c>
      <c r="AM98" s="1">
        <v>-2.3628185900099301E-6</v>
      </c>
      <c r="AN98" s="1">
        <v>1.9168590003565799E-6</v>
      </c>
      <c r="AO98">
        <f t="shared" si="39"/>
        <v>3.6534392240366902E-5</v>
      </c>
      <c r="AQ98" t="s">
        <v>315</v>
      </c>
      <c r="AR98" t="s">
        <v>224</v>
      </c>
      <c r="AS98">
        <v>600</v>
      </c>
      <c r="AT98" s="1">
        <v>2.8850974775368401E-5</v>
      </c>
      <c r="AU98" s="1">
        <v>-1.9443413800198501E-6</v>
      </c>
      <c r="AV98" s="1">
        <v>1.49623550033269E-6</v>
      </c>
      <c r="AW98">
        <f t="shared" si="28"/>
        <v>2.8955101960854103E-5</v>
      </c>
      <c r="AY98" t="s">
        <v>315</v>
      </c>
      <c r="AZ98" t="s">
        <v>224</v>
      </c>
      <c r="BA98">
        <v>800</v>
      </c>
      <c r="BB98">
        <v>1.354305232115119E-5</v>
      </c>
      <c r="BD98">
        <f t="shared" si="36"/>
        <v>5.894310600823057E-5</v>
      </c>
      <c r="BF98">
        <f t="shared" si="37"/>
        <v>6.6522396287743368E-5</v>
      </c>
      <c r="BH98">
        <f t="shared" si="29"/>
        <v>8.1934445927446287E-5</v>
      </c>
      <c r="BJ98">
        <f t="shared" si="30"/>
        <v>1.5753671547392857E-2</v>
      </c>
      <c r="BL98" s="1">
        <f t="shared" si="31"/>
        <v>2.5031061142647429E-2</v>
      </c>
      <c r="BN98">
        <f t="shared" si="32"/>
        <v>4.0225059035144693E-2</v>
      </c>
      <c r="BP98">
        <v>2.2358252590921359</v>
      </c>
      <c r="BQ98" s="4">
        <v>77.289999999999978</v>
      </c>
      <c r="BR98">
        <v>7.68</v>
      </c>
      <c r="BT98" s="1">
        <v>2.3300999999999999E-7</v>
      </c>
      <c r="BV98" s="11">
        <f t="shared" si="33"/>
        <v>1.9464713097509543</v>
      </c>
    </row>
    <row r="99" spans="1:74" x14ac:dyDescent="0.25">
      <c r="A99" t="s">
        <v>99</v>
      </c>
      <c r="B99" t="s">
        <v>5</v>
      </c>
      <c r="C99" s="1">
        <v>1.4E-3</v>
      </c>
      <c r="D99">
        <v>8.4016396613994354E-9</v>
      </c>
      <c r="F99" t="s">
        <v>99</v>
      </c>
      <c r="G99" t="s">
        <v>6</v>
      </c>
      <c r="H99" s="1">
        <v>1.06E-3</v>
      </c>
      <c r="I99">
        <v>6.3599213831619017E-9</v>
      </c>
      <c r="K99" t="s">
        <v>99</v>
      </c>
      <c r="L99" t="s">
        <v>7</v>
      </c>
      <c r="M99" s="1">
        <v>9.6699999999999998E-4</v>
      </c>
      <c r="N99">
        <v>5.8012498653307458E-9</v>
      </c>
      <c r="P99" t="s">
        <v>99</v>
      </c>
      <c r="Q99" t="s">
        <v>446</v>
      </c>
      <c r="R99">
        <v>4.0242017842051607E-9</v>
      </c>
      <c r="T99">
        <f t="shared" si="34"/>
        <v>2.0417182782375338E-9</v>
      </c>
      <c r="V99" s="1">
        <f t="shared" si="35"/>
        <v>2.6003897960686896E-9</v>
      </c>
      <c r="X99">
        <f t="shared" si="27"/>
        <v>4.3774378771942747E-9</v>
      </c>
      <c r="AA99" t="s">
        <v>316</v>
      </c>
      <c r="AB99" t="s">
        <v>224</v>
      </c>
      <c r="AC99">
        <v>350</v>
      </c>
      <c r="AD99" s="1">
        <v>1.3218525232561201E-4</v>
      </c>
      <c r="AE99" s="1">
        <v>-5.7446561992224997E-7</v>
      </c>
      <c r="AF99" s="1">
        <v>2.80288205031707E-6</v>
      </c>
      <c r="AG99">
        <f t="shared" si="38"/>
        <v>1.3221621341924061E-4</v>
      </c>
      <c r="AI99" t="s">
        <v>316</v>
      </c>
      <c r="AJ99" t="s">
        <v>224</v>
      </c>
      <c r="AK99">
        <v>550</v>
      </c>
      <c r="AL99" s="1">
        <v>4.9978982060739799E-5</v>
      </c>
      <c r="AM99" s="1">
        <v>-2.1078048001985099E-7</v>
      </c>
      <c r="AN99" s="1">
        <v>5.9170994977208098E-7</v>
      </c>
      <c r="AO99">
        <f t="shared" si="39"/>
        <v>4.9982929054859991E-5</v>
      </c>
      <c r="AQ99" t="s">
        <v>316</v>
      </c>
      <c r="AR99" t="s">
        <v>224</v>
      </c>
      <c r="AS99">
        <v>600</v>
      </c>
      <c r="AT99" s="1">
        <v>4.2134484234674202E-5</v>
      </c>
      <c r="AU99" s="1">
        <v>3.59441899602979E-8</v>
      </c>
      <c r="AV99" s="1">
        <v>1.37350224979598E-6</v>
      </c>
      <c r="AW99">
        <f t="shared" si="28"/>
        <v>4.2156880365332955E-5</v>
      </c>
      <c r="AY99" t="s">
        <v>316</v>
      </c>
      <c r="AZ99" t="s">
        <v>224</v>
      </c>
      <c r="BA99">
        <v>800</v>
      </c>
      <c r="BB99">
        <v>1.8589846705680836E-5</v>
      </c>
      <c r="BD99">
        <f t="shared" si="36"/>
        <v>8.2233284364380618E-5</v>
      </c>
      <c r="BF99">
        <f t="shared" si="37"/>
        <v>9.0059333053907654E-5</v>
      </c>
      <c r="BH99">
        <f t="shared" si="29"/>
        <v>1.1362636671355977E-4</v>
      </c>
      <c r="BJ99">
        <f t="shared" si="30"/>
        <v>2.4828368391447891E-2</v>
      </c>
      <c r="BL99" s="1">
        <f t="shared" si="31"/>
        <v>2.887418447249826E-2</v>
      </c>
      <c r="BN99">
        <f t="shared" si="32"/>
        <v>3.8524842462219523E-2</v>
      </c>
      <c r="BP99">
        <v>3.5952129884565402</v>
      </c>
      <c r="BQ99" s="3">
        <v>77.350000000000009</v>
      </c>
      <c r="BR99">
        <v>10.48</v>
      </c>
      <c r="BT99" s="1">
        <v>2.3879999999999999E-7</v>
      </c>
      <c r="BV99" s="11">
        <f t="shared" si="33"/>
        <v>3.3571322185831494</v>
      </c>
    </row>
    <row r="100" spans="1:74" x14ac:dyDescent="0.25">
      <c r="A100" t="s">
        <v>100</v>
      </c>
      <c r="B100" t="s">
        <v>5</v>
      </c>
      <c r="C100" s="1">
        <v>1.9300000000000001E-3</v>
      </c>
      <c r="D100">
        <v>1.1596749544592226E-8</v>
      </c>
      <c r="F100" t="s">
        <v>100</v>
      </c>
      <c r="G100" t="s">
        <v>6</v>
      </c>
      <c r="H100" s="1">
        <v>1.33E-3</v>
      </c>
      <c r="I100">
        <v>7.9806578676196863E-9</v>
      </c>
      <c r="K100" t="s">
        <v>100</v>
      </c>
      <c r="L100" t="s">
        <v>7</v>
      </c>
      <c r="M100" s="1">
        <v>1.23E-3</v>
      </c>
      <c r="N100">
        <v>7.3855060760925518E-9</v>
      </c>
      <c r="P100" t="s">
        <v>100</v>
      </c>
      <c r="Q100" t="s">
        <v>446</v>
      </c>
      <c r="R100">
        <v>3.9634959316239996E-9</v>
      </c>
      <c r="T100">
        <f t="shared" si="34"/>
        <v>3.6160916769725393E-9</v>
      </c>
      <c r="V100" s="1">
        <f t="shared" si="35"/>
        <v>4.2112434684996738E-9</v>
      </c>
      <c r="X100">
        <f t="shared" si="27"/>
        <v>7.633253612968226E-9</v>
      </c>
      <c r="AA100" t="s">
        <v>317</v>
      </c>
      <c r="AB100" t="s">
        <v>224</v>
      </c>
      <c r="AC100">
        <v>350</v>
      </c>
      <c r="AD100" s="1">
        <v>1.3927248547656299E-4</v>
      </c>
      <c r="AE100" s="1">
        <v>3.08115964995037E-6</v>
      </c>
      <c r="AF100" s="1">
        <v>2.1810747002499801E-6</v>
      </c>
      <c r="AG100">
        <f t="shared" si="38"/>
        <v>1.3932363705579896E-4</v>
      </c>
      <c r="AI100" t="s">
        <v>317</v>
      </c>
      <c r="AJ100" t="s">
        <v>224</v>
      </c>
      <c r="AK100">
        <v>550</v>
      </c>
      <c r="AL100" s="1">
        <v>5.2009174901264E-5</v>
      </c>
      <c r="AM100" s="1">
        <v>1.35403761998842E-6</v>
      </c>
      <c r="AN100" s="1">
        <v>1.2776593003042E-6</v>
      </c>
      <c r="AO100">
        <f t="shared" si="39"/>
        <v>5.2042483655896617E-5</v>
      </c>
      <c r="AQ100" t="s">
        <v>317</v>
      </c>
      <c r="AR100" t="s">
        <v>224</v>
      </c>
      <c r="AS100">
        <v>600</v>
      </c>
      <c r="AT100" s="1">
        <v>4.4427462028505902E-5</v>
      </c>
      <c r="AU100" s="1">
        <v>2.0285154201621202E-6</v>
      </c>
      <c r="AV100" s="1">
        <v>1.0786957501948301E-6</v>
      </c>
      <c r="AW100">
        <f t="shared" si="28"/>
        <v>4.4486827731651728E-5</v>
      </c>
      <c r="AY100" t="s">
        <v>317</v>
      </c>
      <c r="AZ100" t="s">
        <v>224</v>
      </c>
      <c r="BA100">
        <v>800</v>
      </c>
      <c r="BB100">
        <v>1.9160030318622351E-5</v>
      </c>
      <c r="BD100">
        <f t="shared" si="36"/>
        <v>8.7281153399902352E-5</v>
      </c>
      <c r="BF100">
        <f t="shared" si="37"/>
        <v>9.4836809324147235E-5</v>
      </c>
      <c r="BH100">
        <f t="shared" si="29"/>
        <v>1.2016360673717661E-4</v>
      </c>
      <c r="BJ100">
        <f t="shared" si="30"/>
        <v>4.143038372103576E-2</v>
      </c>
      <c r="BL100" s="1">
        <f t="shared" si="31"/>
        <v>4.4405157644073254E-2</v>
      </c>
      <c r="BN100">
        <f t="shared" si="32"/>
        <v>6.3523839041081526E-2</v>
      </c>
      <c r="BP100">
        <v>4.3387860304188566</v>
      </c>
      <c r="BQ100" s="4">
        <v>77.37</v>
      </c>
      <c r="BR100">
        <v>10.95</v>
      </c>
      <c r="BT100" s="1">
        <v>2.3682E-7</v>
      </c>
      <c r="BV100" s="11">
        <f t="shared" si="33"/>
        <v>4.4720204600578013</v>
      </c>
    </row>
    <row r="101" spans="1:74" x14ac:dyDescent="0.25">
      <c r="A101" t="s">
        <v>101</v>
      </c>
      <c r="B101" t="s">
        <v>5</v>
      </c>
      <c r="C101" s="1">
        <v>2.2200000000000002E-3</v>
      </c>
      <c r="D101">
        <v>1.3314782048535379E-8</v>
      </c>
      <c r="F101" t="s">
        <v>101</v>
      </c>
      <c r="G101" t="s">
        <v>6</v>
      </c>
      <c r="H101" s="1">
        <v>1.6999999999999999E-3</v>
      </c>
      <c r="I101">
        <v>1.0202259994726659E-8</v>
      </c>
      <c r="K101" t="s">
        <v>101</v>
      </c>
      <c r="L101" t="s">
        <v>7</v>
      </c>
      <c r="M101" s="1">
        <v>1.6800000000000001E-3</v>
      </c>
      <c r="N101">
        <v>1.0075364062901151E-8</v>
      </c>
      <c r="P101" t="s">
        <v>101</v>
      </c>
      <c r="Q101" t="s">
        <v>446</v>
      </c>
      <c r="R101">
        <v>7.2581402576693155E-9</v>
      </c>
      <c r="T101">
        <f t="shared" si="34"/>
        <v>3.1125220538087202E-9</v>
      </c>
      <c r="V101" s="1">
        <f t="shared" si="35"/>
        <v>3.2394179856342279E-9</v>
      </c>
      <c r="X101">
        <f t="shared" si="27"/>
        <v>6.0566417908660633E-9</v>
      </c>
      <c r="AA101" t="s">
        <v>318</v>
      </c>
      <c r="AB101" t="s">
        <v>224</v>
      </c>
      <c r="AC101">
        <v>350</v>
      </c>
      <c r="AD101" s="1">
        <v>1.51072113512717E-4</v>
      </c>
      <c r="AE101" s="1">
        <v>-4.5360728994375501E-7</v>
      </c>
      <c r="AF101" s="1">
        <v>4.1333351496783398E-6</v>
      </c>
      <c r="AG101">
        <f t="shared" si="38"/>
        <v>1.5112932773036578E-4</v>
      </c>
      <c r="AI101" t="s">
        <v>318</v>
      </c>
      <c r="AJ101" t="s">
        <v>224</v>
      </c>
      <c r="AK101">
        <v>550</v>
      </c>
      <c r="AL101" s="1">
        <v>5.9868045852906897E-5</v>
      </c>
      <c r="AM101" s="1">
        <v>5.8416092993713903E-7</v>
      </c>
      <c r="AN101" s="1">
        <v>2.7283786501599099E-6</v>
      </c>
      <c r="AO101">
        <f t="shared" si="39"/>
        <v>5.9933031028778082E-5</v>
      </c>
      <c r="AQ101" t="s">
        <v>318</v>
      </c>
      <c r="AR101" t="s">
        <v>224</v>
      </c>
      <c r="AS101">
        <v>600</v>
      </c>
      <c r="AT101" s="1">
        <v>4.8459057251388497E-5</v>
      </c>
      <c r="AU101" s="1">
        <v>1.43421512001323E-6</v>
      </c>
      <c r="AV101" s="1">
        <v>2.7266517502573301E-6</v>
      </c>
      <c r="AW101">
        <f t="shared" si="28"/>
        <v>4.8556892739043796E-5</v>
      </c>
      <c r="AY101" t="s">
        <v>318</v>
      </c>
      <c r="AZ101" t="s">
        <v>224</v>
      </c>
      <c r="BA101">
        <v>800</v>
      </c>
      <c r="BB101">
        <v>2.26276470743853E-5</v>
      </c>
      <c r="BD101">
        <f t="shared" si="36"/>
        <v>9.1196296701587695E-5</v>
      </c>
      <c r="BF101">
        <f t="shared" si="37"/>
        <v>1.0257243499132198E-4</v>
      </c>
      <c r="BH101">
        <f t="shared" si="29"/>
        <v>1.2850168065598047E-4</v>
      </c>
      <c r="BJ101">
        <f t="shared" si="30"/>
        <v>3.4129917182860035E-2</v>
      </c>
      <c r="BL101" s="1">
        <f t="shared" si="31"/>
        <v>3.1581759620977069E-2</v>
      </c>
      <c r="BN101">
        <f t="shared" si="32"/>
        <v>4.7132782699400334E-2</v>
      </c>
      <c r="BP101">
        <v>5.3120158115837883</v>
      </c>
      <c r="BQ101" s="4">
        <v>77.39</v>
      </c>
      <c r="BR101">
        <v>11.83</v>
      </c>
      <c r="BT101" s="1">
        <v>2.3818999999999999E-7</v>
      </c>
      <c r="BV101" s="11">
        <f t="shared" si="33"/>
        <v>4.7252609018540959</v>
      </c>
    </row>
    <row r="102" spans="1:74" x14ac:dyDescent="0.25">
      <c r="A102" t="s">
        <v>102</v>
      </c>
      <c r="B102" t="s">
        <v>5</v>
      </c>
      <c r="C102" s="1">
        <v>1.23E-3</v>
      </c>
      <c r="D102">
        <v>7.3815733417747741E-9</v>
      </c>
      <c r="F102" t="s">
        <v>102</v>
      </c>
      <c r="G102" t="s">
        <v>6</v>
      </c>
      <c r="H102" s="1">
        <v>9.5500000000000001E-4</v>
      </c>
      <c r="I102">
        <v>5.7316140833102157E-9</v>
      </c>
      <c r="K102" t="s">
        <v>102</v>
      </c>
      <c r="L102" t="s">
        <v>7</v>
      </c>
      <c r="M102" s="1">
        <v>9.9700000000000006E-4</v>
      </c>
      <c r="N102">
        <v>5.9789517475892041E-9</v>
      </c>
      <c r="P102" t="s">
        <v>102</v>
      </c>
      <c r="Q102" t="s">
        <v>446</v>
      </c>
      <c r="R102">
        <v>3.7228603250726449E-9</v>
      </c>
      <c r="T102">
        <f t="shared" si="34"/>
        <v>1.6499592584645584E-9</v>
      </c>
      <c r="V102" s="1">
        <f t="shared" si="35"/>
        <v>1.40262159418557E-9</v>
      </c>
      <c r="X102">
        <f t="shared" si="27"/>
        <v>3.6587130167021292E-9</v>
      </c>
      <c r="AA102" t="s">
        <v>319</v>
      </c>
      <c r="AB102" t="s">
        <v>224</v>
      </c>
      <c r="AC102">
        <v>350</v>
      </c>
      <c r="AD102" s="1">
        <v>1.4298999475131701E-4</v>
      </c>
      <c r="AE102" s="1">
        <v>9.7234337997849491E-7</v>
      </c>
      <c r="AF102" s="1">
        <v>1.4031062502802999E-6</v>
      </c>
      <c r="AG102">
        <f t="shared" si="38"/>
        <v>1.4300018446764266E-4</v>
      </c>
      <c r="AI102" t="s">
        <v>319</v>
      </c>
      <c r="AJ102" t="s">
        <v>224</v>
      </c>
      <c r="AK102">
        <v>550</v>
      </c>
      <c r="AL102" s="1">
        <v>5.3861229460358298E-5</v>
      </c>
      <c r="AM102" s="1">
        <v>1.3026006700959499E-6</v>
      </c>
      <c r="AN102" s="1">
        <v>-8.5419875018380597E-7</v>
      </c>
      <c r="AO102">
        <f t="shared" si="39"/>
        <v>5.3883749526104057E-5</v>
      </c>
      <c r="AQ102" t="s">
        <v>319</v>
      </c>
      <c r="AR102" t="s">
        <v>224</v>
      </c>
      <c r="AS102">
        <v>600</v>
      </c>
      <c r="AT102" s="1">
        <v>4.5209315812580399E-5</v>
      </c>
      <c r="AU102" s="1">
        <v>2.0018718199966899E-6</v>
      </c>
      <c r="AV102" s="1">
        <v>-1.37683270032534E-6</v>
      </c>
      <c r="AW102">
        <f t="shared" si="28"/>
        <v>4.5274555716318347E-5</v>
      </c>
      <c r="AY102" t="s">
        <v>319</v>
      </c>
      <c r="AZ102" t="s">
        <v>224</v>
      </c>
      <c r="BA102">
        <v>800</v>
      </c>
      <c r="BB102">
        <v>2.0106822654354099E-5</v>
      </c>
      <c r="BD102">
        <f t="shared" si="36"/>
        <v>8.9116434941538601E-5</v>
      </c>
      <c r="BF102">
        <f t="shared" si="37"/>
        <v>9.7725628751324311E-5</v>
      </c>
      <c r="BH102">
        <f t="shared" si="29"/>
        <v>1.2289336181328856E-4</v>
      </c>
      <c r="BJ102">
        <f t="shared" si="30"/>
        <v>1.851464614295837E-2</v>
      </c>
      <c r="BL102" s="1">
        <f t="shared" si="31"/>
        <v>1.4352648451663839E-2</v>
      </c>
      <c r="BN102">
        <f t="shared" si="32"/>
        <v>2.9771445444391038E-2</v>
      </c>
      <c r="BP102">
        <v>2.4738519994578745</v>
      </c>
      <c r="BQ102" s="4">
        <v>77.41</v>
      </c>
      <c r="BR102">
        <v>11.13</v>
      </c>
      <c r="BT102" s="1">
        <v>2.4176000000000002E-7</v>
      </c>
      <c r="BV102" s="11">
        <f t="shared" si="33"/>
        <v>2.7432748871909873</v>
      </c>
    </row>
    <row r="103" spans="1:74" x14ac:dyDescent="0.25">
      <c r="A103" t="s">
        <v>103</v>
      </c>
      <c r="B103" t="s">
        <v>5</v>
      </c>
      <c r="C103" s="1">
        <v>5.4699999999999996E-4</v>
      </c>
      <c r="D103">
        <v>3.2859220928074359E-9</v>
      </c>
      <c r="F103" t="s">
        <v>103</v>
      </c>
      <c r="G103" t="s">
        <v>6</v>
      </c>
      <c r="H103" s="1">
        <v>5.5099999999999995E-4</v>
      </c>
      <c r="I103">
        <v>3.3120387980819308E-9</v>
      </c>
      <c r="K103" t="s">
        <v>103</v>
      </c>
      <c r="L103" t="s">
        <v>7</v>
      </c>
      <c r="M103" s="1">
        <v>5.22E-4</v>
      </c>
      <c r="N103">
        <v>3.128237363116808E-9</v>
      </c>
      <c r="P103" t="s">
        <v>103</v>
      </c>
      <c r="Q103" t="s">
        <v>446</v>
      </c>
      <c r="R103">
        <v>3.2032795694412938E-9</v>
      </c>
      <c r="T103">
        <f t="shared" si="34"/>
        <v>-2.6116705274494937E-11</v>
      </c>
      <c r="V103" s="1">
        <f t="shared" si="35"/>
        <v>1.5768472969062783E-10</v>
      </c>
      <c r="X103">
        <f t="shared" si="27"/>
        <v>8.2642523366142116E-11</v>
      </c>
      <c r="AA103" t="s">
        <v>320</v>
      </c>
      <c r="AB103" t="s">
        <v>224</v>
      </c>
      <c r="AC103">
        <v>350</v>
      </c>
      <c r="AD103" s="1">
        <v>1.1725100053611899E-4</v>
      </c>
      <c r="AE103" s="1">
        <v>-1.37012246003143E-6</v>
      </c>
      <c r="AF103" s="1">
        <v>2.8236048497491101E-6</v>
      </c>
      <c r="AG103">
        <f t="shared" si="38"/>
        <v>1.1729299683537797E-4</v>
      </c>
      <c r="AI103" t="s">
        <v>320</v>
      </c>
      <c r="AJ103" t="s">
        <v>224</v>
      </c>
      <c r="AK103">
        <v>550</v>
      </c>
      <c r="AL103" s="1">
        <v>4.4432017200581899E-5</v>
      </c>
      <c r="AM103" s="1">
        <v>-1.90607820999835E-6</v>
      </c>
      <c r="AN103" s="1">
        <v>1.68508435030787E-6</v>
      </c>
      <c r="AO103">
        <f t="shared" si="39"/>
        <v>4.4504795201450917E-5</v>
      </c>
      <c r="AQ103" t="s">
        <v>320</v>
      </c>
      <c r="AR103" t="s">
        <v>224</v>
      </c>
      <c r="AS103">
        <v>600</v>
      </c>
      <c r="AT103" s="1">
        <v>3.75535260507935E-5</v>
      </c>
      <c r="AU103" s="1">
        <v>-1.3857385700380501E-6</v>
      </c>
      <c r="AV103" s="1">
        <v>1.25126240033361E-6</v>
      </c>
      <c r="AW103">
        <f t="shared" ref="AW103:AW134" si="40">SQRT(AT103^2+AU103^2+AV103^2)</f>
        <v>3.7599910210352975E-5</v>
      </c>
      <c r="AY103" t="s">
        <v>320</v>
      </c>
      <c r="AZ103" t="s">
        <v>224</v>
      </c>
      <c r="BA103">
        <v>800</v>
      </c>
      <c r="BB103">
        <v>1.7731408932820129E-5</v>
      </c>
      <c r="BD103">
        <f t="shared" si="36"/>
        <v>7.2788201633927052E-5</v>
      </c>
      <c r="BF103">
        <f t="shared" si="37"/>
        <v>7.9693086625024995E-5</v>
      </c>
      <c r="BH103">
        <f t="shared" si="29"/>
        <v>9.9561587902557844E-5</v>
      </c>
      <c r="BJ103">
        <f t="shared" si="30"/>
        <v>-3.5880410132734712E-4</v>
      </c>
      <c r="BL103" s="1">
        <f t="shared" si="31"/>
        <v>1.9786500481851349E-3</v>
      </c>
      <c r="BN103">
        <f t="shared" si="32"/>
        <v>8.3006433612755725E-4</v>
      </c>
      <c r="BP103">
        <v>1.7114902388553399</v>
      </c>
      <c r="BQ103" s="4">
        <v>77.429999999999993</v>
      </c>
      <c r="BR103">
        <v>9.17</v>
      </c>
      <c r="BT103" s="1">
        <v>2.3717E-7</v>
      </c>
      <c r="BV103" s="11">
        <f t="shared" si="33"/>
        <v>1.5108737406113297</v>
      </c>
    </row>
    <row r="104" spans="1:74" x14ac:dyDescent="0.25">
      <c r="A104" t="s">
        <v>104</v>
      </c>
      <c r="B104" t="s">
        <v>5</v>
      </c>
      <c r="C104" s="1">
        <v>1.74E-3</v>
      </c>
      <c r="D104">
        <v>1.0438184708080233E-8</v>
      </c>
      <c r="F104" t="s">
        <v>104</v>
      </c>
      <c r="G104" t="s">
        <v>6</v>
      </c>
      <c r="H104" s="1">
        <v>1.31E-3</v>
      </c>
      <c r="I104">
        <v>7.8558895104246468E-9</v>
      </c>
      <c r="K104" t="s">
        <v>104</v>
      </c>
      <c r="L104" t="s">
        <v>7</v>
      </c>
      <c r="M104" s="1">
        <v>1.0499999999999999E-3</v>
      </c>
      <c r="N104">
        <v>6.2947438391089435E-9</v>
      </c>
      <c r="P104" t="s">
        <v>104</v>
      </c>
      <c r="Q104" t="s">
        <v>446</v>
      </c>
      <c r="R104">
        <v>4.8588578904923737E-9</v>
      </c>
      <c r="T104">
        <f t="shared" si="34"/>
        <v>2.5822951976555859E-9</v>
      </c>
      <c r="V104" s="1">
        <f t="shared" si="35"/>
        <v>4.1434408689712891E-9</v>
      </c>
      <c r="X104">
        <f t="shared" si="27"/>
        <v>5.5793268175878589E-9</v>
      </c>
      <c r="AA104" t="s">
        <v>321</v>
      </c>
      <c r="AB104" t="s">
        <v>224</v>
      </c>
      <c r="AC104">
        <v>350</v>
      </c>
      <c r="AD104" s="1">
        <v>1.3561034590077399E-4</v>
      </c>
      <c r="AE104" s="1">
        <v>-2.9349405600066198E-6</v>
      </c>
      <c r="AF104" s="1">
        <v>-2.5003044966547399E-7</v>
      </c>
      <c r="AG104">
        <f t="shared" si="38"/>
        <v>1.3564233228105488E-4</v>
      </c>
      <c r="AI104" t="s">
        <v>321</v>
      </c>
      <c r="AJ104" t="s">
        <v>224</v>
      </c>
      <c r="AK104">
        <v>550</v>
      </c>
      <c r="AL104" s="1">
        <v>5.03076180368153E-5</v>
      </c>
      <c r="AM104" s="1">
        <v>-2.4517786100066201E-6</v>
      </c>
      <c r="AN104" s="1">
        <v>-1.49130150284899E-7</v>
      </c>
      <c r="AO104">
        <f t="shared" si="39"/>
        <v>5.0367547991661394E-5</v>
      </c>
      <c r="AQ104" t="s">
        <v>321</v>
      </c>
      <c r="AR104" t="s">
        <v>224</v>
      </c>
      <c r="AS104">
        <v>600</v>
      </c>
      <c r="AT104" s="1">
        <v>4.2141383336607698E-5</v>
      </c>
      <c r="AU104" s="1">
        <v>-1.8690485400099299E-6</v>
      </c>
      <c r="AV104" s="1">
        <v>3.1651609970774898E-7</v>
      </c>
      <c r="AW104">
        <f t="shared" si="40"/>
        <v>4.2183998321747602E-5</v>
      </c>
      <c r="AY104" t="s">
        <v>321</v>
      </c>
      <c r="AZ104" t="s">
        <v>224</v>
      </c>
      <c r="BA104">
        <v>800</v>
      </c>
      <c r="BB104">
        <v>1.7977294823314177E-5</v>
      </c>
      <c r="BD104">
        <f t="shared" si="36"/>
        <v>8.5274784289393491E-5</v>
      </c>
      <c r="BF104">
        <f t="shared" si="37"/>
        <v>9.3458333959307283E-5</v>
      </c>
      <c r="BH104">
        <f t="shared" si="29"/>
        <v>1.176650374577407E-4</v>
      </c>
      <c r="BJ104">
        <f t="shared" si="30"/>
        <v>3.0282049015710879E-2</v>
      </c>
      <c r="BL104" s="1">
        <f t="shared" si="31"/>
        <v>4.4334632273408441E-2</v>
      </c>
      <c r="BN104">
        <f t="shared" si="32"/>
        <v>4.741703175500768E-2</v>
      </c>
      <c r="BP104">
        <v>4.3598459979586357</v>
      </c>
      <c r="BQ104" s="4">
        <v>77.449999999999989</v>
      </c>
      <c r="BR104">
        <v>10.74</v>
      </c>
      <c r="BT104" s="1">
        <v>2.3453E-7</v>
      </c>
      <c r="BV104" s="11">
        <f t="shared" si="33"/>
        <v>4.1440242933190889</v>
      </c>
    </row>
    <row r="105" spans="1:74" x14ac:dyDescent="0.25">
      <c r="A105" t="s">
        <v>105</v>
      </c>
      <c r="B105" t="s">
        <v>5</v>
      </c>
      <c r="C105" s="1">
        <v>3.0100000000000001E-3</v>
      </c>
      <c r="D105">
        <v>1.8094101497449383E-8</v>
      </c>
      <c r="F105" t="s">
        <v>105</v>
      </c>
      <c r="G105" t="s">
        <v>6</v>
      </c>
      <c r="H105" s="1">
        <v>2.2200000000000002E-3</v>
      </c>
      <c r="I105">
        <v>1.3321487191751527E-8</v>
      </c>
      <c r="K105" t="s">
        <v>105</v>
      </c>
      <c r="L105" t="s">
        <v>7</v>
      </c>
      <c r="M105" s="1">
        <v>1.81E-3</v>
      </c>
      <c r="N105">
        <v>1.0855898747224939E-8</v>
      </c>
      <c r="P105" t="s">
        <v>105</v>
      </c>
      <c r="Q105" t="s">
        <v>446</v>
      </c>
      <c r="R105">
        <v>9.2951525538852769E-9</v>
      </c>
      <c r="T105">
        <f t="shared" si="34"/>
        <v>4.7726143056978552E-9</v>
      </c>
      <c r="V105" s="1">
        <f t="shared" si="35"/>
        <v>7.2382027502244432E-9</v>
      </c>
      <c r="X105">
        <f t="shared" si="27"/>
        <v>8.7989489435641057E-9</v>
      </c>
      <c r="AA105" t="s">
        <v>322</v>
      </c>
      <c r="AB105" t="s">
        <v>224</v>
      </c>
      <c r="AC105">
        <v>350</v>
      </c>
      <c r="AD105" s="1">
        <v>1.3775065900903399E-4</v>
      </c>
      <c r="AE105" s="1">
        <v>1.7450817899272101E-6</v>
      </c>
      <c r="AF105" s="1">
        <v>1.11261699863984E-7</v>
      </c>
      <c r="AG105">
        <f t="shared" si="38"/>
        <v>1.3776175720076506E-4</v>
      </c>
      <c r="AI105" t="s">
        <v>322</v>
      </c>
      <c r="AJ105" t="s">
        <v>224</v>
      </c>
      <c r="AK105">
        <v>550</v>
      </c>
      <c r="AL105" s="1">
        <v>5.27171287003684E-5</v>
      </c>
      <c r="AM105" s="1">
        <v>2.3673085299950402E-6</v>
      </c>
      <c r="AN105" s="1">
        <v>-7.6625019966087803E-7</v>
      </c>
      <c r="AO105">
        <f t="shared" si="39"/>
        <v>5.2775817828394411E-5</v>
      </c>
      <c r="AQ105" t="s">
        <v>322</v>
      </c>
      <c r="AR105" t="s">
        <v>224</v>
      </c>
      <c r="AS105">
        <v>600</v>
      </c>
      <c r="AT105" s="1">
        <v>4.3380390925548302E-5</v>
      </c>
      <c r="AU105" s="1">
        <v>2.4412691900264699E-6</v>
      </c>
      <c r="AV105" s="1">
        <v>-5.9565714967466403E-7</v>
      </c>
      <c r="AW105">
        <f t="shared" si="40"/>
        <v>4.3453111736117638E-5</v>
      </c>
      <c r="AY105" t="s">
        <v>322</v>
      </c>
      <c r="AZ105" t="s">
        <v>224</v>
      </c>
      <c r="BA105">
        <v>800</v>
      </c>
      <c r="BB105">
        <v>1.8335913305282039E-5</v>
      </c>
      <c r="BD105">
        <f t="shared" si="36"/>
        <v>8.4985939372370648E-5</v>
      </c>
      <c r="BF105">
        <f t="shared" si="37"/>
        <v>9.4308645464647421E-5</v>
      </c>
      <c r="BH105">
        <f t="shared" si="29"/>
        <v>1.1942584389548302E-4</v>
      </c>
      <c r="BJ105">
        <f t="shared" si="30"/>
        <v>5.6157693154233183E-2</v>
      </c>
      <c r="BL105" s="1">
        <f t="shared" si="31"/>
        <v>7.6750150684093521E-2</v>
      </c>
      <c r="BN105">
        <f t="shared" si="32"/>
        <v>7.3677092466389552E-2</v>
      </c>
      <c r="BP105">
        <v>7.7651244571567384</v>
      </c>
      <c r="BQ105" s="4">
        <v>77.469999999999985</v>
      </c>
      <c r="BR105">
        <v>10.71</v>
      </c>
      <c r="BT105" s="1">
        <v>2.4119E-7</v>
      </c>
      <c r="BV105" s="11">
        <f t="shared" si="33"/>
        <v>7.0046792564557174</v>
      </c>
    </row>
    <row r="106" spans="1:74" x14ac:dyDescent="0.25">
      <c r="A106" t="s">
        <v>106</v>
      </c>
      <c r="B106" t="s">
        <v>5</v>
      </c>
      <c r="C106" s="1">
        <v>3.0699999999999998E-3</v>
      </c>
      <c r="D106">
        <v>1.8471570046966773E-8</v>
      </c>
      <c r="F106" t="s">
        <v>106</v>
      </c>
      <c r="G106" t="s">
        <v>6</v>
      </c>
      <c r="H106" s="1">
        <v>2.3E-3</v>
      </c>
      <c r="I106">
        <v>1.383627131853087E-8</v>
      </c>
      <c r="K106" t="s">
        <v>106</v>
      </c>
      <c r="L106" t="s">
        <v>7</v>
      </c>
      <c r="M106" s="1">
        <v>2.1299999999999999E-3</v>
      </c>
      <c r="N106">
        <v>1.2776353157298056E-8</v>
      </c>
      <c r="P106" t="s">
        <v>106</v>
      </c>
      <c r="Q106" t="s">
        <v>446</v>
      </c>
      <c r="R106">
        <v>8.4625114475550345E-9</v>
      </c>
      <c r="T106">
        <f t="shared" si="34"/>
        <v>4.6352987284359026E-9</v>
      </c>
      <c r="V106" s="1">
        <f t="shared" si="35"/>
        <v>5.6952168896687163E-9</v>
      </c>
      <c r="X106">
        <f t="shared" si="27"/>
        <v>1.0009058599411738E-8</v>
      </c>
      <c r="AA106" t="s">
        <v>323</v>
      </c>
      <c r="AB106" t="s">
        <v>224</v>
      </c>
      <c r="AC106">
        <v>350</v>
      </c>
      <c r="AD106" s="1">
        <v>1.32990678025815E-4</v>
      </c>
      <c r="AE106" s="1">
        <v>2.30109424998346E-6</v>
      </c>
      <c r="AF106" s="1">
        <v>2.13457175032166E-6</v>
      </c>
      <c r="AG106">
        <f t="shared" si="38"/>
        <v>1.3302771092171199E-4</v>
      </c>
      <c r="AI106" t="s">
        <v>323</v>
      </c>
      <c r="AJ106" t="s">
        <v>224</v>
      </c>
      <c r="AK106">
        <v>550</v>
      </c>
      <c r="AL106" s="1">
        <v>4.9734152460540098E-5</v>
      </c>
      <c r="AM106" s="1">
        <v>1.18033614996692E-6</v>
      </c>
      <c r="AN106" s="1">
        <v>1.0979383497812699E-6</v>
      </c>
      <c r="AO106">
        <f t="shared" si="39"/>
        <v>4.9760271130843787E-5</v>
      </c>
      <c r="AQ106" t="s">
        <v>323</v>
      </c>
      <c r="AR106" t="s">
        <v>224</v>
      </c>
      <c r="AS106">
        <v>600</v>
      </c>
      <c r="AT106" s="1">
        <v>4.11425174838182E-5</v>
      </c>
      <c r="AU106" s="1">
        <v>2.52884768991894E-6</v>
      </c>
      <c r="AV106" s="1">
        <v>1.91710569985204E-6</v>
      </c>
      <c r="AW106">
        <f t="shared" si="40"/>
        <v>4.1264719916770305E-5</v>
      </c>
      <c r="AY106" t="s">
        <v>323</v>
      </c>
      <c r="AZ106" t="s">
        <v>224</v>
      </c>
      <c r="BA106">
        <v>800</v>
      </c>
      <c r="BB106">
        <v>1.7315346702747664E-5</v>
      </c>
      <c r="BD106">
        <f t="shared" si="36"/>
        <v>8.3267439790868207E-5</v>
      </c>
      <c r="BF106">
        <f t="shared" si="37"/>
        <v>9.1762991004941689E-5</v>
      </c>
      <c r="BH106">
        <f t="shared" si="29"/>
        <v>1.1571236421896432E-4</v>
      </c>
      <c r="BJ106">
        <f t="shared" si="30"/>
        <v>5.5667602367477226E-2</v>
      </c>
      <c r="BL106" s="1">
        <f t="shared" si="31"/>
        <v>6.2064420822573373E-2</v>
      </c>
      <c r="BN106">
        <f t="shared" si="32"/>
        <v>8.649947364718466E-2</v>
      </c>
      <c r="BP106">
        <v>7.6121500978806722</v>
      </c>
      <c r="BQ106" s="4">
        <v>77.489999999999981</v>
      </c>
      <c r="BR106">
        <v>11.07</v>
      </c>
      <c r="BT106" s="1">
        <v>2.4016E-7</v>
      </c>
      <c r="BV106" s="11">
        <f t="shared" si="33"/>
        <v>6.9479312974453249</v>
      </c>
    </row>
    <row r="107" spans="1:74" x14ac:dyDescent="0.25">
      <c r="A107" t="s">
        <v>107</v>
      </c>
      <c r="B107" t="s">
        <v>5</v>
      </c>
      <c r="C107" s="1">
        <v>1.09E-3</v>
      </c>
      <c r="D107">
        <v>6.5432484287240693E-9</v>
      </c>
      <c r="F107" t="s">
        <v>107</v>
      </c>
      <c r="G107" t="s">
        <v>6</v>
      </c>
      <c r="H107" s="1">
        <v>6.9899999999999997E-4</v>
      </c>
      <c r="I107">
        <v>4.1917084822301274E-9</v>
      </c>
      <c r="K107" t="s">
        <v>107</v>
      </c>
      <c r="L107" t="s">
        <v>7</v>
      </c>
      <c r="M107" s="1">
        <v>5.13E-4</v>
      </c>
      <c r="N107">
        <v>3.0736247331123557E-9</v>
      </c>
      <c r="P107" t="s">
        <v>107</v>
      </c>
      <c r="Q107" t="s">
        <v>446</v>
      </c>
      <c r="R107">
        <v>4.2197229766893465E-9</v>
      </c>
      <c r="T107">
        <f t="shared" si="34"/>
        <v>2.3515399464939419E-9</v>
      </c>
      <c r="V107" s="1">
        <f t="shared" si="35"/>
        <v>3.4696236956117136E-9</v>
      </c>
      <c r="X107">
        <f t="shared" si="27"/>
        <v>2.3235254520347228E-9</v>
      </c>
      <c r="AA107" t="s">
        <v>324</v>
      </c>
      <c r="AB107" t="s">
        <v>224</v>
      </c>
      <c r="AC107">
        <v>350</v>
      </c>
      <c r="AD107" s="1">
        <v>1.3403478605056399E-4</v>
      </c>
      <c r="AE107" s="1">
        <v>-3.6053231400099299E-6</v>
      </c>
      <c r="AF107" s="1">
        <v>2.1988371003143101E-6</v>
      </c>
      <c r="AG107">
        <f t="shared" si="38"/>
        <v>1.341012942188034E-4</v>
      </c>
      <c r="AI107" t="s">
        <v>324</v>
      </c>
      <c r="AJ107" t="s">
        <v>224</v>
      </c>
      <c r="AK107">
        <v>550</v>
      </c>
      <c r="AL107" s="1">
        <v>4.8147226775651099E-5</v>
      </c>
      <c r="AM107" s="1">
        <v>-3.20877756002316E-6</v>
      </c>
      <c r="AN107" s="1">
        <v>1.6572072503418801E-6</v>
      </c>
      <c r="AO107">
        <f t="shared" si="39"/>
        <v>4.8282481662464988E-5</v>
      </c>
      <c r="AQ107" t="s">
        <v>324</v>
      </c>
      <c r="AR107" t="s">
        <v>224</v>
      </c>
      <c r="AS107">
        <v>600</v>
      </c>
      <c r="AT107" s="1">
        <v>4.3077582351610003E-5</v>
      </c>
      <c r="AU107" s="1">
        <v>-2.4760785599404498E-6</v>
      </c>
      <c r="AV107" s="1">
        <v>2.1587483503124701E-6</v>
      </c>
      <c r="AW107">
        <f t="shared" si="40"/>
        <v>4.3202653399238284E-5</v>
      </c>
      <c r="AY107" t="s">
        <v>324</v>
      </c>
      <c r="AZ107" t="s">
        <v>224</v>
      </c>
      <c r="BA107">
        <v>800</v>
      </c>
      <c r="BB107">
        <v>1.7142532036011218E-5</v>
      </c>
      <c r="BD107">
        <f t="shared" si="36"/>
        <v>8.5818812556338414E-5</v>
      </c>
      <c r="BF107">
        <f t="shared" si="37"/>
        <v>9.0898640819565119E-5</v>
      </c>
      <c r="BH107">
        <f t="shared" si="29"/>
        <v>1.1695876218279218E-4</v>
      </c>
      <c r="BJ107">
        <f t="shared" si="30"/>
        <v>2.7401217477230889E-2</v>
      </c>
      <c r="BL107" s="1">
        <f t="shared" si="31"/>
        <v>3.8170248359367193E-2</v>
      </c>
      <c r="BN107">
        <f t="shared" si="32"/>
        <v>1.9866193935973244E-2</v>
      </c>
      <c r="BP107">
        <v>3.2233181001762143</v>
      </c>
      <c r="BQ107" s="7">
        <v>77.53</v>
      </c>
      <c r="BR107">
        <v>11.07</v>
      </c>
      <c r="BT107" s="1">
        <v>2.3706000000000001E-7</v>
      </c>
      <c r="BV107" s="11">
        <f t="shared" si="33"/>
        <v>2.4933744713923174</v>
      </c>
    </row>
    <row r="108" spans="1:74" x14ac:dyDescent="0.25">
      <c r="A108" t="s">
        <v>108</v>
      </c>
      <c r="B108" t="s">
        <v>5</v>
      </c>
      <c r="C108" s="1">
        <v>1.2099999999999999E-3</v>
      </c>
      <c r="D108">
        <v>7.2588566592818181E-9</v>
      </c>
      <c r="F108" t="s">
        <v>108</v>
      </c>
      <c r="G108" t="s">
        <v>6</v>
      </c>
      <c r="H108" s="1">
        <v>7.6400000000000003E-4</v>
      </c>
      <c r="I108">
        <v>4.582728444933215E-9</v>
      </c>
      <c r="K108" t="s">
        <v>108</v>
      </c>
      <c r="L108" t="s">
        <v>7</v>
      </c>
      <c r="M108" s="1">
        <v>7.0799999999999997E-4</v>
      </c>
      <c r="N108">
        <v>4.247908308803287E-9</v>
      </c>
      <c r="P108" t="s">
        <v>108</v>
      </c>
      <c r="Q108" t="s">
        <v>446</v>
      </c>
      <c r="R108">
        <v>2.4129227090812503E-9</v>
      </c>
      <c r="T108">
        <f t="shared" si="34"/>
        <v>2.6761282143486031E-9</v>
      </c>
      <c r="V108" s="1">
        <f t="shared" si="35"/>
        <v>3.0109483504785311E-9</v>
      </c>
      <c r="X108">
        <f t="shared" si="27"/>
        <v>4.8459339502005678E-9</v>
      </c>
      <c r="AA108" t="s">
        <v>325</v>
      </c>
      <c r="AB108" t="s">
        <v>224</v>
      </c>
      <c r="AC108">
        <v>350</v>
      </c>
      <c r="AD108" s="1">
        <v>1.3683705896220299E-4</v>
      </c>
      <c r="AE108" s="1">
        <v>-1.55275446996361E-6</v>
      </c>
      <c r="AF108" s="1">
        <v>3.2695150996893701E-6</v>
      </c>
      <c r="AG108">
        <f t="shared" si="38"/>
        <v>1.3688492057511853E-4</v>
      </c>
      <c r="AI108" t="s">
        <v>325</v>
      </c>
      <c r="AJ108" t="s">
        <v>224</v>
      </c>
      <c r="AK108">
        <v>550</v>
      </c>
      <c r="AL108" s="1">
        <v>5.1118660301424101E-5</v>
      </c>
      <c r="AM108" s="1">
        <v>-1.2919679000330901E-6</v>
      </c>
      <c r="AN108" s="1">
        <v>3.1319798502260801E-6</v>
      </c>
      <c r="AO108">
        <f t="shared" si="39"/>
        <v>5.1230810161945813E-5</v>
      </c>
      <c r="AQ108" t="s">
        <v>325</v>
      </c>
      <c r="AR108" t="s">
        <v>224</v>
      </c>
      <c r="AS108">
        <v>600</v>
      </c>
      <c r="AT108" s="1">
        <v>4.2772429850740102E-5</v>
      </c>
      <c r="AU108" s="1">
        <v>-1.2457856600148901E-6</v>
      </c>
      <c r="AV108" s="1">
        <v>2.8463012502527299E-6</v>
      </c>
      <c r="AW108">
        <f t="shared" si="40"/>
        <v>4.2885127585846958E-5</v>
      </c>
      <c r="AY108" t="s">
        <v>325</v>
      </c>
      <c r="AZ108" t="s">
        <v>224</v>
      </c>
      <c r="BA108">
        <v>800</v>
      </c>
      <c r="BB108">
        <v>1.8669513981485994E-5</v>
      </c>
      <c r="BD108">
        <f t="shared" si="36"/>
        <v>8.5654110413172722E-5</v>
      </c>
      <c r="BF108">
        <f t="shared" si="37"/>
        <v>9.399979298927157E-5</v>
      </c>
      <c r="BH108">
        <f t="shared" si="29"/>
        <v>1.1821540659363253E-4</v>
      </c>
      <c r="BJ108">
        <f t="shared" si="30"/>
        <v>3.1243430133588102E-2</v>
      </c>
      <c r="BL108" s="1">
        <f t="shared" si="31"/>
        <v>3.2031435971589618E-2</v>
      </c>
      <c r="BN108">
        <f t="shared" si="32"/>
        <v>4.0992406064791091E-2</v>
      </c>
      <c r="BP108">
        <v>3.2472128594217105</v>
      </c>
      <c r="BQ108" s="8">
        <v>77.55</v>
      </c>
      <c r="BR108">
        <v>10.93</v>
      </c>
      <c r="BT108" s="1">
        <v>2.3155000000000001E-7</v>
      </c>
      <c r="BV108" s="11">
        <f t="shared" si="33"/>
        <v>2.8681593293305085</v>
      </c>
    </row>
    <row r="109" spans="1:74" x14ac:dyDescent="0.25">
      <c r="A109" t="s">
        <v>109</v>
      </c>
      <c r="B109" t="s">
        <v>5</v>
      </c>
      <c r="C109" s="1">
        <v>5.5400000000000002E-4</v>
      </c>
      <c r="D109">
        <v>3.3268417455598932E-9</v>
      </c>
      <c r="F109" t="s">
        <v>109</v>
      </c>
      <c r="G109" t="s">
        <v>6</v>
      </c>
      <c r="H109" s="1">
        <v>3.0400000000000002E-4</v>
      </c>
      <c r="I109">
        <v>1.823962718917248E-9</v>
      </c>
      <c r="K109" t="s">
        <v>109</v>
      </c>
      <c r="L109" t="s">
        <v>7</v>
      </c>
      <c r="M109" s="1">
        <v>5.0699999999999996E-4</v>
      </c>
      <c r="N109">
        <v>3.0462774003691785E-9</v>
      </c>
      <c r="P109" t="s">
        <v>109</v>
      </c>
      <c r="Q109" t="s">
        <v>446</v>
      </c>
      <c r="R109">
        <v>2.5146023542500708E-9</v>
      </c>
      <c r="T109">
        <f t="shared" si="34"/>
        <v>1.5028790266426452E-9</v>
      </c>
      <c r="V109" s="1">
        <f t="shared" si="35"/>
        <v>2.8056434519071469E-10</v>
      </c>
      <c r="X109">
        <f t="shared" si="27"/>
        <v>8.1223939130982235E-10</v>
      </c>
      <c r="AA109" t="s">
        <v>326</v>
      </c>
      <c r="AB109" t="s">
        <v>224</v>
      </c>
      <c r="AC109">
        <v>350</v>
      </c>
      <c r="AD109" s="1">
        <v>1.33855144101448E-4</v>
      </c>
      <c r="AE109" s="1">
        <v>4.4065554001819702E-7</v>
      </c>
      <c r="AF109" s="1">
        <v>2.4105057002692798E-6</v>
      </c>
      <c r="AG109">
        <f t="shared" si="38"/>
        <v>1.3387757212265014E-4</v>
      </c>
      <c r="AI109" t="s">
        <v>326</v>
      </c>
      <c r="AJ109" t="s">
        <v>224</v>
      </c>
      <c r="AK109">
        <v>550</v>
      </c>
      <c r="AL109" s="1">
        <v>4.9059721212797903E-5</v>
      </c>
      <c r="AM109" s="1">
        <v>1.5273196998014901E-7</v>
      </c>
      <c r="AN109" s="1">
        <v>-6.4512050345555004E-8</v>
      </c>
      <c r="AO109">
        <f t="shared" si="39"/>
        <v>4.9060001369106652E-5</v>
      </c>
      <c r="AQ109" t="s">
        <v>326</v>
      </c>
      <c r="AR109" t="s">
        <v>224</v>
      </c>
      <c r="AS109">
        <v>600</v>
      </c>
      <c r="AT109" s="1">
        <v>4.1546512862001197E-5</v>
      </c>
      <c r="AU109" s="1">
        <v>5.8985969963606402E-8</v>
      </c>
      <c r="AV109" s="1">
        <v>5.7493434968385404E-7</v>
      </c>
      <c r="AW109">
        <f t="shared" si="40"/>
        <v>4.1550532606015172E-5</v>
      </c>
      <c r="AY109" t="s">
        <v>326</v>
      </c>
      <c r="AZ109" t="s">
        <v>224</v>
      </c>
      <c r="BA109">
        <v>800</v>
      </c>
      <c r="BB109">
        <v>1.7739687809081345E-5</v>
      </c>
      <c r="BD109">
        <f t="shared" si="36"/>
        <v>8.4817570753543492E-5</v>
      </c>
      <c r="BF109">
        <f t="shared" si="37"/>
        <v>9.2327039516634958E-5</v>
      </c>
      <c r="BH109">
        <f t="shared" si="29"/>
        <v>1.1613788431356879E-4</v>
      </c>
      <c r="BJ109">
        <f t="shared" si="30"/>
        <v>1.7718958622495777E-2</v>
      </c>
      <c r="BL109" s="1">
        <f t="shared" si="31"/>
        <v>3.0388101542036796E-3</v>
      </c>
      <c r="BN109">
        <f t="shared" si="32"/>
        <v>6.9937505415270055E-3</v>
      </c>
      <c r="BP109">
        <v>1.1116141053033672</v>
      </c>
      <c r="BQ109" s="8">
        <v>77.569999999999993</v>
      </c>
      <c r="BR109">
        <v>10.52</v>
      </c>
      <c r="BT109" s="1">
        <v>2.4186000000000002E-7</v>
      </c>
      <c r="BV109" s="11">
        <f t="shared" si="33"/>
        <v>1.3075320832464328</v>
      </c>
    </row>
    <row r="110" spans="1:74" x14ac:dyDescent="0.25">
      <c r="A110" t="s">
        <v>110</v>
      </c>
      <c r="B110" t="s">
        <v>5</v>
      </c>
      <c r="C110" s="1">
        <v>9.5200000000000005E-4</v>
      </c>
      <c r="D110">
        <v>5.7162072215762076E-9</v>
      </c>
      <c r="F110" t="s">
        <v>110</v>
      </c>
      <c r="G110" t="s">
        <v>6</v>
      </c>
      <c r="H110" s="1">
        <v>1.07E-3</v>
      </c>
      <c r="I110">
        <v>6.4211603312796982E-9</v>
      </c>
      <c r="K110" t="s">
        <v>110</v>
      </c>
      <c r="L110" t="s">
        <v>7</v>
      </c>
      <c r="M110" s="1">
        <v>6.4899999999999995E-4</v>
      </c>
      <c r="N110">
        <v>3.8983842806988642E-9</v>
      </c>
      <c r="P110" t="s">
        <v>110</v>
      </c>
      <c r="Q110" t="s">
        <v>446</v>
      </c>
      <c r="R110">
        <v>2.348645373401442E-9</v>
      </c>
      <c r="T110">
        <f t="shared" si="34"/>
        <v>-7.0495310970349063E-10</v>
      </c>
      <c r="V110" s="1">
        <f t="shared" si="35"/>
        <v>1.8178229408773434E-9</v>
      </c>
      <c r="X110">
        <f t="shared" si="27"/>
        <v>3.3675618481747657E-9</v>
      </c>
      <c r="AA110" t="s">
        <v>327</v>
      </c>
      <c r="AB110" t="s">
        <v>224</v>
      </c>
      <c r="AC110">
        <v>350</v>
      </c>
      <c r="AD110" s="1">
        <v>1.38491339303178E-4</v>
      </c>
      <c r="AE110" s="1">
        <v>-1.5347700400595501E-6</v>
      </c>
      <c r="AF110" s="1">
        <v>4.7150537501268298E-6</v>
      </c>
      <c r="AG110">
        <f t="shared" si="38"/>
        <v>1.3858007906236171E-4</v>
      </c>
      <c r="AI110" t="s">
        <v>327</v>
      </c>
      <c r="AJ110" t="s">
        <v>224</v>
      </c>
      <c r="AK110">
        <v>550</v>
      </c>
      <c r="AL110" s="1">
        <v>5.0833983976704898E-5</v>
      </c>
      <c r="AM110" s="1">
        <v>-6.5316291998842001E-7</v>
      </c>
      <c r="AN110" s="1">
        <v>2.5120227502453799E-6</v>
      </c>
      <c r="AO110">
        <f t="shared" si="39"/>
        <v>5.0900204390961815E-5</v>
      </c>
      <c r="AQ110" t="s">
        <v>327</v>
      </c>
      <c r="AR110" t="s">
        <v>224</v>
      </c>
      <c r="AS110">
        <v>600</v>
      </c>
      <c r="AT110" s="1">
        <v>4.3165147851900601E-5</v>
      </c>
      <c r="AU110" s="1">
        <v>-2.08017440001654E-7</v>
      </c>
      <c r="AV110" s="1">
        <v>3.3035597002564099E-6</v>
      </c>
      <c r="AW110">
        <f t="shared" si="40"/>
        <v>4.3291878765248133E-5</v>
      </c>
      <c r="AY110" t="s">
        <v>327</v>
      </c>
      <c r="AZ110" t="s">
        <v>224</v>
      </c>
      <c r="BA110">
        <v>800</v>
      </c>
      <c r="BB110">
        <v>1.9405617012312477E-5</v>
      </c>
      <c r="BD110">
        <f t="shared" si="36"/>
        <v>8.7679874671399896E-5</v>
      </c>
      <c r="BF110">
        <f t="shared" si="37"/>
        <v>9.5288200297113571E-5</v>
      </c>
      <c r="BH110">
        <f t="shared" si="29"/>
        <v>1.1917446205004923E-4</v>
      </c>
      <c r="BJ110">
        <f t="shared" si="30"/>
        <v>-8.0400788931948332E-3</v>
      </c>
      <c r="BL110" s="1">
        <f t="shared" si="31"/>
        <v>1.907710435509619E-2</v>
      </c>
      <c r="BN110">
        <f t="shared" si="32"/>
        <v>2.8257411783075673E-2</v>
      </c>
      <c r="BP110">
        <v>2.8460204327165282</v>
      </c>
      <c r="BQ110" s="8">
        <v>77.589999999999989</v>
      </c>
      <c r="BR110">
        <v>11.39</v>
      </c>
      <c r="BT110" s="1">
        <v>2.2782000000000001E-7</v>
      </c>
      <c r="BV110" s="11">
        <f t="shared" si="33"/>
        <v>2.2028878757524586</v>
      </c>
    </row>
    <row r="111" spans="1:74" x14ac:dyDescent="0.25">
      <c r="A111" t="s">
        <v>111</v>
      </c>
      <c r="B111" t="s">
        <v>5</v>
      </c>
      <c r="C111" s="1">
        <v>1.07E-3</v>
      </c>
      <c r="D111">
        <v>6.4234125665412455E-9</v>
      </c>
      <c r="F111" t="s">
        <v>111</v>
      </c>
      <c r="G111" t="s">
        <v>6</v>
      </c>
      <c r="H111" s="1">
        <v>8.3500000000000002E-4</v>
      </c>
      <c r="I111">
        <v>5.005836593417728E-9</v>
      </c>
      <c r="K111" t="s">
        <v>111</v>
      </c>
      <c r="L111" t="s">
        <v>7</v>
      </c>
      <c r="M111" s="1">
        <v>7.4299999999999995E-4</v>
      </c>
      <c r="N111">
        <v>4.4564896499374933E-9</v>
      </c>
      <c r="P111" t="s">
        <v>111</v>
      </c>
      <c r="Q111" t="s">
        <v>446</v>
      </c>
      <c r="R111">
        <v>4.3124517388603894E-9</v>
      </c>
      <c r="T111">
        <f t="shared" si="34"/>
        <v>1.4175759731235176E-9</v>
      </c>
      <c r="V111" s="1">
        <f t="shared" si="35"/>
        <v>1.9669229166037522E-9</v>
      </c>
      <c r="X111">
        <f t="shared" si="27"/>
        <v>2.1109608276808561E-9</v>
      </c>
      <c r="AA111" t="s">
        <v>328</v>
      </c>
      <c r="AB111" t="s">
        <v>224</v>
      </c>
      <c r="AC111">
        <v>350</v>
      </c>
      <c r="AD111" s="1">
        <v>1.17604446736283E-4</v>
      </c>
      <c r="AE111" s="1">
        <v>-6.0853488988585703E-7</v>
      </c>
      <c r="AF111" s="1">
        <v>2.4599690497307201E-6</v>
      </c>
      <c r="AG111">
        <f t="shared" si="38"/>
        <v>1.1763174594719346E-4</v>
      </c>
      <c r="AI111" t="s">
        <v>328</v>
      </c>
      <c r="AJ111" t="s">
        <v>224</v>
      </c>
      <c r="AK111">
        <v>550</v>
      </c>
      <c r="AL111" s="1">
        <v>4.3821093063122102E-5</v>
      </c>
      <c r="AM111" s="1">
        <v>-1.41874703003639E-6</v>
      </c>
      <c r="AN111" s="1">
        <v>1.6097174996213599E-6</v>
      </c>
      <c r="AO111">
        <f t="shared" si="39"/>
        <v>4.3873593775876535E-5</v>
      </c>
      <c r="AQ111" t="s">
        <v>328</v>
      </c>
      <c r="AR111" t="s">
        <v>224</v>
      </c>
      <c r="AS111">
        <v>600</v>
      </c>
      <c r="AT111" s="1">
        <v>3.6725147587343197E-5</v>
      </c>
      <c r="AU111" s="1">
        <v>-1.0498565200215099E-6</v>
      </c>
      <c r="AV111" s="1">
        <v>8.8256924966087805E-7</v>
      </c>
      <c r="AW111">
        <f t="shared" si="40"/>
        <v>3.6750749550250242E-5</v>
      </c>
      <c r="AY111" t="s">
        <v>328</v>
      </c>
      <c r="AZ111" t="s">
        <v>224</v>
      </c>
      <c r="BA111">
        <v>800</v>
      </c>
      <c r="BB111">
        <v>1.5749068764971918E-5</v>
      </c>
      <c r="BD111">
        <f t="shared" si="36"/>
        <v>7.3758152171316923E-5</v>
      </c>
      <c r="BF111">
        <f t="shared" si="37"/>
        <v>8.0880996396943223E-5</v>
      </c>
      <c r="BH111">
        <f t="shared" si="29"/>
        <v>1.0188267718222154E-4</v>
      </c>
      <c r="BJ111">
        <f t="shared" si="30"/>
        <v>1.9219244671842314E-2</v>
      </c>
      <c r="BL111" s="1">
        <f t="shared" si="31"/>
        <v>2.4318727565503746E-2</v>
      </c>
      <c r="BN111">
        <f t="shared" si="32"/>
        <v>2.0719526479514395E-2</v>
      </c>
      <c r="BP111">
        <v>3.7748097807231824</v>
      </c>
      <c r="BQ111" s="9">
        <v>77.609999999999985</v>
      </c>
      <c r="BR111">
        <v>10.09</v>
      </c>
      <c r="BT111" s="1">
        <v>2.1899999999999999E-7</v>
      </c>
      <c r="BV111" s="11">
        <f t="shared" si="33"/>
        <v>2.9069029721281283</v>
      </c>
    </row>
    <row r="112" spans="1:74" x14ac:dyDescent="0.25">
      <c r="A112" t="s">
        <v>112</v>
      </c>
      <c r="B112" t="s">
        <v>5</v>
      </c>
      <c r="C112" s="1">
        <v>1.7799999999999999E-3</v>
      </c>
      <c r="D112">
        <v>1.0682789897774833E-8</v>
      </c>
      <c r="F112" t="s">
        <v>112</v>
      </c>
      <c r="G112" t="s">
        <v>6</v>
      </c>
      <c r="H112" s="1">
        <v>1.1199999999999999E-3</v>
      </c>
      <c r="I112">
        <v>6.7249523418385658E-9</v>
      </c>
      <c r="K112" t="s">
        <v>112</v>
      </c>
      <c r="L112" t="s">
        <v>7</v>
      </c>
      <c r="M112" s="1">
        <v>1.0300000000000001E-3</v>
      </c>
      <c r="N112">
        <v>6.1811579012350112E-9</v>
      </c>
      <c r="P112" t="s">
        <v>112</v>
      </c>
      <c r="Q112" t="s">
        <v>446</v>
      </c>
      <c r="R112">
        <v>6.0556502541015361E-9</v>
      </c>
      <c r="T112">
        <f t="shared" si="34"/>
        <v>3.9578375559362667E-9</v>
      </c>
      <c r="V112" s="1">
        <f t="shared" si="35"/>
        <v>4.5016319965398213E-9</v>
      </c>
      <c r="X112">
        <f t="shared" si="27"/>
        <v>4.6271396436732964E-9</v>
      </c>
      <c r="AA112" t="s">
        <v>329</v>
      </c>
      <c r="AB112" t="s">
        <v>224</v>
      </c>
      <c r="AC112">
        <v>350</v>
      </c>
      <c r="AD112" s="1">
        <v>1.1106020812738501E-4</v>
      </c>
      <c r="AE112" s="1">
        <v>-1.3824574600148899E-6</v>
      </c>
      <c r="AF112" s="1">
        <v>3.7889419496185999E-6</v>
      </c>
      <c r="AG112">
        <f t="shared" si="38"/>
        <v>1.1113342026152351E-4</v>
      </c>
      <c r="AI112" t="s">
        <v>329</v>
      </c>
      <c r="AJ112" t="s">
        <v>224</v>
      </c>
      <c r="AK112">
        <v>550</v>
      </c>
      <c r="AL112" s="1">
        <v>4.2232752166554903E-5</v>
      </c>
      <c r="AM112" s="1">
        <v>-1.34224536001489E-6</v>
      </c>
      <c r="AN112" s="1">
        <v>2.3360023002214898E-6</v>
      </c>
      <c r="AO112">
        <f t="shared" si="39"/>
        <v>4.2318599751347744E-5</v>
      </c>
      <c r="AQ112" t="s">
        <v>329</v>
      </c>
      <c r="AR112" t="s">
        <v>224</v>
      </c>
      <c r="AS112">
        <v>600</v>
      </c>
      <c r="AT112" s="1">
        <v>3.4581429141891002E-5</v>
      </c>
      <c r="AU112" s="1">
        <v>-2.1272447600231599E-6</v>
      </c>
      <c r="AV112" s="1">
        <v>1.4719355502297601E-6</v>
      </c>
      <c r="AW112">
        <f t="shared" si="40"/>
        <v>3.4678047898183435E-5</v>
      </c>
      <c r="AY112" t="s">
        <v>329</v>
      </c>
      <c r="AZ112" t="s">
        <v>224</v>
      </c>
      <c r="BA112">
        <v>800</v>
      </c>
      <c r="BB112">
        <v>1.5256978365879686E-5</v>
      </c>
      <c r="BD112">
        <f t="shared" si="36"/>
        <v>6.8814820510175762E-5</v>
      </c>
      <c r="BF112">
        <f t="shared" si="37"/>
        <v>7.6455372363340072E-5</v>
      </c>
      <c r="BH112">
        <f t="shared" si="29"/>
        <v>9.5876441895643817E-5</v>
      </c>
      <c r="BJ112">
        <f t="shared" si="30"/>
        <v>5.7514319249746711E-2</v>
      </c>
      <c r="BL112" s="1">
        <f t="shared" si="31"/>
        <v>5.8879210935585333E-2</v>
      </c>
      <c r="BN112">
        <f t="shared" si="32"/>
        <v>4.8261486890697099E-2</v>
      </c>
      <c r="BP112">
        <v>5.8271202016140666</v>
      </c>
      <c r="BQ112" s="8">
        <v>77.629999999999981</v>
      </c>
      <c r="BR112">
        <v>9.4700000000000006</v>
      </c>
      <c r="BT112" s="1">
        <v>2.1572999999999999E-7</v>
      </c>
      <c r="BV112" s="11">
        <f t="shared" si="33"/>
        <v>5.2290664955107768</v>
      </c>
    </row>
    <row r="113" spans="1:74" x14ac:dyDescent="0.25">
      <c r="A113" t="s">
        <v>113</v>
      </c>
      <c r="B113" t="s">
        <v>5</v>
      </c>
      <c r="C113" s="1">
        <v>1.3600000000000001E-3</v>
      </c>
      <c r="D113">
        <v>8.1566022950736056E-9</v>
      </c>
      <c r="F113" t="s">
        <v>113</v>
      </c>
      <c r="G113" t="s">
        <v>6</v>
      </c>
      <c r="H113" s="1">
        <v>1.07E-3</v>
      </c>
      <c r="I113">
        <v>6.423036802011958E-9</v>
      </c>
      <c r="K113" t="s">
        <v>113</v>
      </c>
      <c r="L113" t="s">
        <v>7</v>
      </c>
      <c r="M113" s="1">
        <v>8.5400000000000005E-4</v>
      </c>
      <c r="N113">
        <v>5.1292393198212147E-9</v>
      </c>
      <c r="P113" t="s">
        <v>113</v>
      </c>
      <c r="Q113" t="s">
        <v>446</v>
      </c>
      <c r="R113">
        <v>5.7387629328976461E-9</v>
      </c>
      <c r="T113">
        <f t="shared" si="34"/>
        <v>1.7335654930616475E-9</v>
      </c>
      <c r="V113" s="1">
        <f t="shared" si="35"/>
        <v>3.0273629752523909E-9</v>
      </c>
      <c r="X113">
        <f t="shared" si="27"/>
        <v>2.4178393621759594E-9</v>
      </c>
      <c r="AA113" t="s">
        <v>330</v>
      </c>
      <c r="AB113" t="s">
        <v>224</v>
      </c>
      <c r="AC113">
        <v>350</v>
      </c>
      <c r="AD113" s="1">
        <v>1.2944131219214599E-4</v>
      </c>
      <c r="AE113" s="1">
        <v>-2.45705798997684E-6</v>
      </c>
      <c r="AF113" s="1">
        <v>2.96027665018381E-6</v>
      </c>
      <c r="AG113">
        <f t="shared" si="38"/>
        <v>1.2949846977411097E-4</v>
      </c>
      <c r="AI113" t="s">
        <v>330</v>
      </c>
      <c r="AJ113" t="s">
        <v>224</v>
      </c>
      <c r="AK113">
        <v>550</v>
      </c>
      <c r="AL113" s="1">
        <v>4.8910550272829897E-5</v>
      </c>
      <c r="AM113" s="1">
        <v>-3.8228138598246497E-6</v>
      </c>
      <c r="AN113" s="1">
        <v>1.16195699992464E-6</v>
      </c>
      <c r="AO113">
        <f t="shared" si="39"/>
        <v>4.9073475298449791E-5</v>
      </c>
      <c r="AQ113" t="s">
        <v>330</v>
      </c>
      <c r="AR113" t="s">
        <v>224</v>
      </c>
      <c r="AS113">
        <v>600</v>
      </c>
      <c r="AT113" s="1">
        <v>3.9852739578322098E-5</v>
      </c>
      <c r="AU113" s="1">
        <v>-2.01874609995864E-6</v>
      </c>
      <c r="AV113" s="1">
        <v>9.1673719963698402E-7</v>
      </c>
      <c r="AW113">
        <f t="shared" si="40"/>
        <v>3.9914365769818477E-5</v>
      </c>
      <c r="AY113" t="s">
        <v>330</v>
      </c>
      <c r="AZ113" t="s">
        <v>224</v>
      </c>
      <c r="BA113">
        <v>800</v>
      </c>
      <c r="BB113">
        <v>2.0304100083499177E-5</v>
      </c>
      <c r="BD113">
        <f t="shared" si="36"/>
        <v>8.0424994475661177E-5</v>
      </c>
      <c r="BF113">
        <f t="shared" si="37"/>
        <v>8.9584104004292484E-5</v>
      </c>
      <c r="BH113">
        <f t="shared" si="29"/>
        <v>1.0919436969061179E-4</v>
      </c>
      <c r="BJ113">
        <f t="shared" si="30"/>
        <v>2.1555058901325412E-2</v>
      </c>
      <c r="BL113" s="1">
        <f t="shared" si="31"/>
        <v>3.3793528538359131E-2</v>
      </c>
      <c r="BN113">
        <f t="shared" si="32"/>
        <v>2.2142527760603374E-2</v>
      </c>
      <c r="BP113">
        <v>4.1501412137147398</v>
      </c>
      <c r="BQ113" s="8">
        <v>77.649999999999977</v>
      </c>
      <c r="BR113">
        <v>10.79</v>
      </c>
      <c r="BT113" s="1">
        <v>2.1976999999999999E-7</v>
      </c>
      <c r="BV113" s="11">
        <f t="shared" si="33"/>
        <v>3.4396910339171276</v>
      </c>
    </row>
    <row r="114" spans="1:74" x14ac:dyDescent="0.25">
      <c r="A114" t="s">
        <v>114</v>
      </c>
      <c r="B114" t="s">
        <v>5</v>
      </c>
      <c r="C114" s="1">
        <v>4.4400000000000004E-3</v>
      </c>
      <c r="D114">
        <v>2.6664510121132921E-8</v>
      </c>
      <c r="F114" t="s">
        <v>114</v>
      </c>
      <c r="G114" t="s">
        <v>6</v>
      </c>
      <c r="H114" s="1">
        <v>3.0999999999999999E-3</v>
      </c>
      <c r="I114">
        <v>1.8572186193337608E-8</v>
      </c>
      <c r="K114" t="s">
        <v>114</v>
      </c>
      <c r="L114" t="s">
        <v>7</v>
      </c>
      <c r="M114" s="1">
        <v>2.9299999999999999E-3</v>
      </c>
      <c r="N114">
        <v>1.7576626525018955E-8</v>
      </c>
      <c r="P114" t="s">
        <v>114</v>
      </c>
      <c r="Q114" t="s">
        <v>446</v>
      </c>
      <c r="R114">
        <v>1.193259355714423E-8</v>
      </c>
      <c r="T114">
        <f t="shared" si="34"/>
        <v>8.092323927795313E-9</v>
      </c>
      <c r="V114" s="1">
        <f t="shared" si="35"/>
        <v>9.087883596113966E-9</v>
      </c>
      <c r="X114">
        <f t="shared" si="27"/>
        <v>1.4731916563988691E-8</v>
      </c>
      <c r="AA114" t="s">
        <v>331</v>
      </c>
      <c r="AB114" t="s">
        <v>224</v>
      </c>
      <c r="AC114">
        <v>350</v>
      </c>
      <c r="AD114" s="1">
        <v>1.3067983331800201E-4</v>
      </c>
      <c r="AE114" s="1">
        <v>-3.5865986099983499E-6</v>
      </c>
      <c r="AF114" s="1">
        <v>2.5327455501920801E-6</v>
      </c>
      <c r="AG114">
        <f t="shared" si="38"/>
        <v>1.3075357481014447E-4</v>
      </c>
      <c r="AI114" t="s">
        <v>331</v>
      </c>
      <c r="AJ114" t="s">
        <v>224</v>
      </c>
      <c r="AK114">
        <v>550</v>
      </c>
      <c r="AL114" s="1">
        <v>5.0124349629192002E-5</v>
      </c>
      <c r="AM114" s="1">
        <v>-3.33545801002316E-6</v>
      </c>
      <c r="AN114" s="1">
        <v>8.9342404959378903E-7</v>
      </c>
      <c r="AO114">
        <f t="shared" si="39"/>
        <v>5.0243147915098836E-5</v>
      </c>
      <c r="AQ114" t="s">
        <v>331</v>
      </c>
      <c r="AR114" t="s">
        <v>224</v>
      </c>
      <c r="AS114">
        <v>600</v>
      </c>
      <c r="AT114" s="1">
        <v>3.8763566278417002E-5</v>
      </c>
      <c r="AU114" s="1">
        <v>-4.0054705400264701E-6</v>
      </c>
      <c r="AV114" s="1">
        <v>5.2781464963055E-7</v>
      </c>
      <c r="AW114">
        <f t="shared" si="40"/>
        <v>3.8973535292203251E-5</v>
      </c>
      <c r="AY114" t="s">
        <v>331</v>
      </c>
      <c r="AZ114" t="s">
        <v>224</v>
      </c>
      <c r="BA114">
        <v>800</v>
      </c>
      <c r="BB114">
        <v>1.9334955572768796E-5</v>
      </c>
      <c r="BD114">
        <f t="shared" si="36"/>
        <v>8.0510426895045626E-5</v>
      </c>
      <c r="BF114">
        <f t="shared" si="37"/>
        <v>9.1780039517941212E-5</v>
      </c>
      <c r="BH114">
        <f t="shared" si="29"/>
        <v>1.1141861923737567E-4</v>
      </c>
      <c r="BJ114">
        <f t="shared" si="30"/>
        <v>0.1005127439995389</v>
      </c>
      <c r="BL114" s="1">
        <f t="shared" si="31"/>
        <v>9.9018083276565402E-2</v>
      </c>
      <c r="BN114">
        <f t="shared" si="32"/>
        <v>0.13222131691115796</v>
      </c>
      <c r="BP114">
        <v>11.481077984411311</v>
      </c>
      <c r="BQ114" s="8">
        <v>77.669999999999973</v>
      </c>
      <c r="BR114">
        <v>10.63</v>
      </c>
      <c r="BT114" s="1">
        <v>2.3041999999999999E-7</v>
      </c>
      <c r="BV114" s="11">
        <f t="shared" si="33"/>
        <v>10.886296846591527</v>
      </c>
    </row>
    <row r="115" spans="1:74" x14ac:dyDescent="0.25">
      <c r="A115" t="s">
        <v>115</v>
      </c>
      <c r="B115" t="s">
        <v>5</v>
      </c>
      <c r="C115" s="1">
        <v>5.2700000000000004E-3</v>
      </c>
      <c r="D115">
        <v>3.1607144761904706E-8</v>
      </c>
      <c r="F115" t="s">
        <v>115</v>
      </c>
      <c r="G115" t="s">
        <v>6</v>
      </c>
      <c r="H115" s="1">
        <v>3.6700000000000001E-3</v>
      </c>
      <c r="I115">
        <v>2.1987341812961384E-8</v>
      </c>
      <c r="K115" t="s">
        <v>115</v>
      </c>
      <c r="L115" t="s">
        <v>7</v>
      </c>
      <c r="M115" s="1">
        <v>3.4299999999999999E-3</v>
      </c>
      <c r="N115">
        <v>2.0616226618855354E-8</v>
      </c>
      <c r="P115" t="s">
        <v>115</v>
      </c>
      <c r="Q115" t="s">
        <v>446</v>
      </c>
      <c r="R115">
        <v>1.4374157366607616E-8</v>
      </c>
      <c r="T115">
        <f t="shared" si="34"/>
        <v>9.6198029489433218E-9</v>
      </c>
      <c r="V115" s="1">
        <f t="shared" si="35"/>
        <v>1.0990918143049352E-8</v>
      </c>
      <c r="X115">
        <f t="shared" si="27"/>
        <v>1.723298739529709E-8</v>
      </c>
      <c r="AA115" t="s">
        <v>332</v>
      </c>
      <c r="AB115" t="s">
        <v>224</v>
      </c>
      <c r="AC115">
        <v>350</v>
      </c>
      <c r="AD115" s="1">
        <v>1.3524646260130801E-4</v>
      </c>
      <c r="AE115" s="1">
        <v>-2.2723290299288699E-6</v>
      </c>
      <c r="AF115" s="1">
        <v>3.72220960063505E-6</v>
      </c>
      <c r="AG115">
        <f t="shared" si="38"/>
        <v>1.3531675420914559E-4</v>
      </c>
      <c r="AI115" t="s">
        <v>332</v>
      </c>
      <c r="AJ115" t="s">
        <v>224</v>
      </c>
      <c r="AK115">
        <v>550</v>
      </c>
      <c r="AL115" s="1">
        <v>4.8678855502201101E-5</v>
      </c>
      <c r="AM115" s="1">
        <v>-2.89514784992556E-6</v>
      </c>
      <c r="AN115" s="1">
        <v>9.2105445058174604E-7</v>
      </c>
      <c r="AO115">
        <f t="shared" si="39"/>
        <v>4.8773570664633924E-5</v>
      </c>
      <c r="AQ115" t="s">
        <v>332</v>
      </c>
      <c r="AR115" t="s">
        <v>224</v>
      </c>
      <c r="AS115">
        <v>600</v>
      </c>
      <c r="AT115" s="1">
        <v>3.9872773502566801E-5</v>
      </c>
      <c r="AU115" s="1">
        <v>-3.32018727995368E-6</v>
      </c>
      <c r="AV115" s="1">
        <v>7.3393250055693202E-7</v>
      </c>
      <c r="AW115">
        <f t="shared" si="40"/>
        <v>4.0017500762495564E-5</v>
      </c>
      <c r="AY115" t="s">
        <v>332</v>
      </c>
      <c r="AZ115" t="s">
        <v>224</v>
      </c>
      <c r="BA115">
        <v>800</v>
      </c>
      <c r="BB115">
        <v>1.824496040403996E-5</v>
      </c>
      <c r="BD115">
        <f t="shared" si="36"/>
        <v>8.6543183544511663E-5</v>
      </c>
      <c r="BF115">
        <f t="shared" si="37"/>
        <v>9.529925344665003E-5</v>
      </c>
      <c r="BH115">
        <f t="shared" si="29"/>
        <v>1.1707179380510564E-4</v>
      </c>
      <c r="BJ115">
        <f t="shared" si="30"/>
        <v>0.11115610213247561</v>
      </c>
      <c r="BL115" s="1">
        <f t="shared" si="31"/>
        <v>0.11533057967974782</v>
      </c>
      <c r="BN115">
        <f t="shared" si="32"/>
        <v>0.14720016525915347</v>
      </c>
      <c r="BP115">
        <v>13.463923720934368</v>
      </c>
      <c r="BQ115" s="4">
        <v>77.679999999999993</v>
      </c>
      <c r="BR115">
        <v>11.05</v>
      </c>
      <c r="BT115" s="1">
        <v>2.2805000000000001E-7</v>
      </c>
      <c r="BV115" s="11">
        <f t="shared" si="33"/>
        <v>12.542754183622391</v>
      </c>
    </row>
    <row r="116" spans="1:74" x14ac:dyDescent="0.25">
      <c r="A116" t="s">
        <v>116</v>
      </c>
      <c r="B116" t="s">
        <v>5</v>
      </c>
      <c r="C116" s="1">
        <v>5.5100000000000001E-3</v>
      </c>
      <c r="D116">
        <v>3.3079542016176703E-8</v>
      </c>
      <c r="F116" t="s">
        <v>116</v>
      </c>
      <c r="G116" t="s">
        <v>6</v>
      </c>
      <c r="H116" s="1">
        <v>3.9199999999999999E-3</v>
      </c>
      <c r="I116">
        <v>2.3493107499860465E-8</v>
      </c>
      <c r="K116" t="s">
        <v>116</v>
      </c>
      <c r="L116" t="s">
        <v>7</v>
      </c>
      <c r="M116" s="1">
        <v>3.63E-3</v>
      </c>
      <c r="N116">
        <v>2.1803268103658224E-8</v>
      </c>
      <c r="P116" t="s">
        <v>116</v>
      </c>
      <c r="Q116" t="s">
        <v>446</v>
      </c>
      <c r="R116">
        <v>1.4602602507772373E-8</v>
      </c>
      <c r="T116">
        <f t="shared" si="34"/>
        <v>9.5864345163162386E-9</v>
      </c>
      <c r="V116" s="1">
        <f t="shared" si="35"/>
        <v>1.1276273912518479E-8</v>
      </c>
      <c r="X116">
        <f t="shared" si="27"/>
        <v>1.847693950840433E-8</v>
      </c>
      <c r="AA116" t="s">
        <v>333</v>
      </c>
      <c r="AB116" t="s">
        <v>224</v>
      </c>
      <c r="AC116">
        <v>350</v>
      </c>
      <c r="AD116" s="1">
        <v>1.2654307105079701E-4</v>
      </c>
      <c r="AE116" s="1">
        <v>-5.2655647990405305E-7</v>
      </c>
      <c r="AF116" s="1">
        <v>1.1507321506598601E-6</v>
      </c>
      <c r="AG116">
        <f t="shared" si="38"/>
        <v>1.2654939856505108E-4</v>
      </c>
      <c r="AI116" t="s">
        <v>333</v>
      </c>
      <c r="AJ116" t="s">
        <v>224</v>
      </c>
      <c r="AK116">
        <v>550</v>
      </c>
      <c r="AL116" s="1">
        <v>4.6543362926884798E-5</v>
      </c>
      <c r="AM116" s="1">
        <v>-2.1634109799288699E-6</v>
      </c>
      <c r="AN116" s="1">
        <v>-2.6860695993612798E-6</v>
      </c>
      <c r="AO116">
        <f t="shared" si="39"/>
        <v>4.6670975450534608E-5</v>
      </c>
      <c r="AQ116" t="s">
        <v>333</v>
      </c>
      <c r="AR116" t="s">
        <v>224</v>
      </c>
      <c r="AS116">
        <v>600</v>
      </c>
      <c r="AT116" s="1">
        <v>3.8431171176908502E-5</v>
      </c>
      <c r="AU116" s="1">
        <v>-6.9801297994541E-7</v>
      </c>
      <c r="AV116" s="1">
        <v>-1.67311939936127E-6</v>
      </c>
      <c r="AW116">
        <f t="shared" si="40"/>
        <v>3.8473906334989354E-5</v>
      </c>
      <c r="AY116" t="s">
        <v>333</v>
      </c>
      <c r="AZ116" t="s">
        <v>224</v>
      </c>
      <c r="BA116">
        <v>800</v>
      </c>
      <c r="BB116">
        <v>1.6223970399494505E-5</v>
      </c>
      <c r="BD116">
        <f t="shared" si="36"/>
        <v>7.987842311451647E-5</v>
      </c>
      <c r="BF116">
        <f t="shared" si="37"/>
        <v>8.8075492230061723E-5</v>
      </c>
      <c r="BH116">
        <f t="shared" si="29"/>
        <v>1.1032542816555657E-4</v>
      </c>
      <c r="BJ116">
        <f t="shared" si="30"/>
        <v>0.12001281625918923</v>
      </c>
      <c r="BL116" s="1">
        <f t="shared" si="31"/>
        <v>0.12802964396796965</v>
      </c>
      <c r="BN116">
        <f t="shared" si="32"/>
        <v>0.16747670791431202</v>
      </c>
      <c r="BP116">
        <v>15.545315852406281</v>
      </c>
      <c r="BQ116" s="4">
        <v>77.699999999999989</v>
      </c>
      <c r="BR116">
        <v>10.36</v>
      </c>
      <c r="BT116" s="1">
        <v>2.2432000000000001E-7</v>
      </c>
      <c r="BV116" s="11">
        <f t="shared" si="33"/>
        <v>14.234156500166916</v>
      </c>
    </row>
    <row r="117" spans="1:74" x14ac:dyDescent="0.25">
      <c r="A117" t="s">
        <v>117</v>
      </c>
      <c r="B117" t="s">
        <v>5</v>
      </c>
      <c r="C117" s="1">
        <v>4.0499999999999998E-3</v>
      </c>
      <c r="D117">
        <v>2.4239356427100122E-8</v>
      </c>
      <c r="F117" t="s">
        <v>117</v>
      </c>
      <c r="G117" t="s">
        <v>6</v>
      </c>
      <c r="H117" s="1">
        <v>2.5200000000000001E-3</v>
      </c>
      <c r="I117">
        <v>1.5143014891361629E-8</v>
      </c>
      <c r="K117" t="s">
        <v>117</v>
      </c>
      <c r="L117" t="s">
        <v>7</v>
      </c>
      <c r="M117" s="1">
        <v>2.4099999999999998E-3</v>
      </c>
      <c r="N117">
        <v>1.4444905676396783E-8</v>
      </c>
      <c r="P117" t="s">
        <v>117</v>
      </c>
      <c r="Q117" t="s">
        <v>446</v>
      </c>
      <c r="R117">
        <v>9.123535498917072E-9</v>
      </c>
      <c r="T117">
        <f t="shared" si="34"/>
        <v>9.0963415357384927E-9</v>
      </c>
      <c r="V117" s="1">
        <f t="shared" si="35"/>
        <v>9.7944507507033389E-9</v>
      </c>
      <c r="X117">
        <f t="shared" si="27"/>
        <v>1.5115820928183048E-8</v>
      </c>
      <c r="AA117" t="s">
        <v>334</v>
      </c>
      <c r="AB117" t="s">
        <v>224</v>
      </c>
      <c r="AC117">
        <v>350</v>
      </c>
      <c r="AD117" s="1">
        <v>1.51720407775139E-4</v>
      </c>
      <c r="AE117" s="1">
        <v>3.8936661000082704E-6</v>
      </c>
      <c r="AF117" s="1">
        <v>-3.8990934931164698E-7</v>
      </c>
      <c r="AG117">
        <f t="shared" si="38"/>
        <v>1.5177086281778032E-4</v>
      </c>
      <c r="AI117" t="s">
        <v>334</v>
      </c>
      <c r="AJ117" t="s">
        <v>224</v>
      </c>
      <c r="AK117">
        <v>550</v>
      </c>
      <c r="AL117" s="1">
        <v>5.8960018150696601E-5</v>
      </c>
      <c r="AM117" s="1">
        <v>2.5841084900595499E-6</v>
      </c>
      <c r="AN117" s="1">
        <v>-2.1090382992886698E-6</v>
      </c>
      <c r="AO117">
        <f t="shared" si="39"/>
        <v>5.9054291965671191E-5</v>
      </c>
      <c r="AQ117" t="s">
        <v>334</v>
      </c>
      <c r="AR117" t="s">
        <v>224</v>
      </c>
      <c r="AS117">
        <v>600</v>
      </c>
      <c r="AT117" s="1">
        <v>4.7670569726056401E-5</v>
      </c>
      <c r="AU117" s="1">
        <v>1.3484128600810599E-6</v>
      </c>
      <c r="AV117" s="1">
        <v>-3.2391709992951001E-6</v>
      </c>
      <c r="AW117">
        <f t="shared" si="40"/>
        <v>4.7799515311462224E-5</v>
      </c>
      <c r="AY117" t="s">
        <v>334</v>
      </c>
      <c r="AZ117" t="s">
        <v>224</v>
      </c>
      <c r="BA117">
        <v>800</v>
      </c>
      <c r="BB117">
        <v>2.1349320461729806E-5</v>
      </c>
      <c r="BD117">
        <f t="shared" si="36"/>
        <v>9.2716570852109138E-5</v>
      </c>
      <c r="BF117">
        <f t="shared" si="37"/>
        <v>1.039713475063181E-4</v>
      </c>
      <c r="BH117">
        <f t="shared" si="29"/>
        <v>1.3042154235605051E-4</v>
      </c>
      <c r="BJ117">
        <f t="shared" si="30"/>
        <v>9.810912388302126E-2</v>
      </c>
      <c r="BL117" s="1">
        <f t="shared" si="31"/>
        <v>9.42033645385634E-2</v>
      </c>
      <c r="BN117">
        <f t="shared" si="32"/>
        <v>0.11589972526867449</v>
      </c>
      <c r="BP117">
        <v>9.6633965285608472</v>
      </c>
      <c r="BQ117" s="4">
        <v>77.719999999999985</v>
      </c>
      <c r="BR117">
        <v>12.17</v>
      </c>
      <c r="BT117" s="1">
        <v>2.2903000000000001E-7</v>
      </c>
      <c r="BV117" s="11">
        <f t="shared" si="33"/>
        <v>8.6963724892639185</v>
      </c>
    </row>
    <row r="118" spans="1:74" x14ac:dyDescent="0.25">
      <c r="A118" t="s">
        <v>118</v>
      </c>
      <c r="B118" t="s">
        <v>5</v>
      </c>
      <c r="C118" s="1">
        <v>7.3499999999999998E-3</v>
      </c>
      <c r="D118">
        <v>4.4106348749358067E-8</v>
      </c>
      <c r="F118" t="s">
        <v>118</v>
      </c>
      <c r="G118" t="s">
        <v>6</v>
      </c>
      <c r="H118" s="1">
        <v>4.9899999999999996E-3</v>
      </c>
      <c r="I118">
        <v>2.9957418113048394E-8</v>
      </c>
      <c r="K118" t="s">
        <v>118</v>
      </c>
      <c r="L118" t="s">
        <v>7</v>
      </c>
      <c r="M118" s="1">
        <v>4.79E-3</v>
      </c>
      <c r="N118">
        <v>2.8692333470807144E-8</v>
      </c>
      <c r="P118" t="s">
        <v>118</v>
      </c>
      <c r="Q118" t="s">
        <v>446</v>
      </c>
      <c r="R118">
        <v>2.2034802018624992E-8</v>
      </c>
      <c r="T118">
        <f t="shared" si="34"/>
        <v>1.4148930636309673E-8</v>
      </c>
      <c r="V118" s="1">
        <f t="shared" si="35"/>
        <v>1.5414015278550924E-8</v>
      </c>
      <c r="X118">
        <f t="shared" si="27"/>
        <v>2.2071546730733075E-8</v>
      </c>
      <c r="AA118" t="s">
        <v>335</v>
      </c>
      <c r="AB118" t="s">
        <v>224</v>
      </c>
      <c r="AC118">
        <v>350</v>
      </c>
      <c r="AD118" s="1">
        <v>1.4626609430856699E-4</v>
      </c>
      <c r="AE118" s="1">
        <v>-4.1325703797965297E-6</v>
      </c>
      <c r="AF118" s="1">
        <v>-1.4789664997031501E-6</v>
      </c>
      <c r="AG118">
        <f t="shared" si="38"/>
        <v>1.4633193712971146E-4</v>
      </c>
      <c r="AI118" t="s">
        <v>335</v>
      </c>
      <c r="AJ118" t="s">
        <v>224</v>
      </c>
      <c r="AK118">
        <v>550</v>
      </c>
      <c r="AL118" s="1">
        <v>5.53827463547515E-5</v>
      </c>
      <c r="AM118" s="1">
        <v>-6.8685473900843701E-6</v>
      </c>
      <c r="AN118" s="1">
        <v>-2.35536824958736E-6</v>
      </c>
      <c r="AO118">
        <f t="shared" si="39"/>
        <v>5.5856721141110133E-5</v>
      </c>
      <c r="AQ118" t="s">
        <v>335</v>
      </c>
      <c r="AR118" t="s">
        <v>224</v>
      </c>
      <c r="AS118">
        <v>600</v>
      </c>
      <c r="AT118" s="1">
        <v>4.3158779450886399E-5</v>
      </c>
      <c r="AU118" s="1">
        <v>-5.7268937999751901E-6</v>
      </c>
      <c r="AV118" s="1">
        <v>-2.4367792493502499E-6</v>
      </c>
      <c r="AW118">
        <f t="shared" si="40"/>
        <v>4.3605222730729314E-5</v>
      </c>
      <c r="AY118" t="s">
        <v>335</v>
      </c>
      <c r="AZ118" t="s">
        <v>224</v>
      </c>
      <c r="BA118">
        <v>800</v>
      </c>
      <c r="BB118">
        <v>1.9828108834894273E-5</v>
      </c>
      <c r="BD118">
        <f t="shared" si="36"/>
        <v>9.0475215988601316E-5</v>
      </c>
      <c r="BF118">
        <f t="shared" si="37"/>
        <v>1.0272671439898214E-4</v>
      </c>
      <c r="BH118">
        <f t="shared" si="29"/>
        <v>1.2650382829481718E-4</v>
      </c>
      <c r="BJ118">
        <f t="shared" si="30"/>
        <v>0.15638460192338477</v>
      </c>
      <c r="BL118" s="1">
        <f t="shared" si="31"/>
        <v>0.1500487518629687</v>
      </c>
      <c r="BN118">
        <f t="shared" si="32"/>
        <v>0.17447335016056065</v>
      </c>
      <c r="BP118">
        <v>17.0901735137343</v>
      </c>
      <c r="BQ118" s="4">
        <v>77.739999999999995</v>
      </c>
      <c r="BR118">
        <v>12.04</v>
      </c>
      <c r="BT118" s="1">
        <v>2.3591E-7</v>
      </c>
      <c r="BV118" s="11">
        <f t="shared" si="33"/>
        <v>15.528455777365853</v>
      </c>
    </row>
    <row r="119" spans="1:74" x14ac:dyDescent="0.25">
      <c r="A119" t="s">
        <v>119</v>
      </c>
      <c r="B119" t="s">
        <v>5</v>
      </c>
      <c r="C119" s="1">
        <v>3.5300000000000002E-3</v>
      </c>
      <c r="D119">
        <v>2.1183007340790873E-8</v>
      </c>
      <c r="F119" t="s">
        <v>119</v>
      </c>
      <c r="G119" t="s">
        <v>6</v>
      </c>
      <c r="H119" s="1">
        <v>2.66E-3</v>
      </c>
      <c r="I119">
        <v>1.595501488560885E-8</v>
      </c>
      <c r="K119" t="s">
        <v>119</v>
      </c>
      <c r="L119" t="s">
        <v>7</v>
      </c>
      <c r="M119" s="1">
        <v>2.32E-3</v>
      </c>
      <c r="N119">
        <v>1.3885099927620254E-8</v>
      </c>
      <c r="P119" t="s">
        <v>119</v>
      </c>
      <c r="Q119" t="s">
        <v>446</v>
      </c>
      <c r="R119">
        <v>1.0559711170292492E-8</v>
      </c>
      <c r="T119">
        <f t="shared" si="34"/>
        <v>5.2279924551820225E-9</v>
      </c>
      <c r="V119" s="1">
        <f t="shared" si="35"/>
        <v>7.2979074131706184E-9</v>
      </c>
      <c r="X119">
        <f t="shared" si="27"/>
        <v>1.062329617049838E-8</v>
      </c>
      <c r="AA119" t="s">
        <v>336</v>
      </c>
      <c r="AB119" t="s">
        <v>224</v>
      </c>
      <c r="AC119">
        <v>350</v>
      </c>
      <c r="AD119" s="1">
        <v>1.42567380652636E-4</v>
      </c>
      <c r="AE119" s="1">
        <v>-2.02400080972539E-6</v>
      </c>
      <c r="AF119" s="1">
        <v>1.18193970055509E-6</v>
      </c>
      <c r="AG119">
        <f t="shared" si="38"/>
        <v>1.4258664589254888E-4</v>
      </c>
      <c r="AI119" t="s">
        <v>336</v>
      </c>
      <c r="AJ119" t="s">
        <v>224</v>
      </c>
      <c r="AK119">
        <v>550</v>
      </c>
      <c r="AL119" s="1">
        <v>5.0313190378681899E-5</v>
      </c>
      <c r="AM119" s="1">
        <v>-1.4853066901009099E-6</v>
      </c>
      <c r="AN119" s="1">
        <v>8.5703580048249005E-7</v>
      </c>
      <c r="AO119">
        <f t="shared" si="39"/>
        <v>5.0342405310120569E-5</v>
      </c>
      <c r="AQ119" t="s">
        <v>336</v>
      </c>
      <c r="AR119" t="s">
        <v>224</v>
      </c>
      <c r="AS119">
        <v>600</v>
      </c>
      <c r="AT119" s="1">
        <v>4.2749653974176299E-5</v>
      </c>
      <c r="AU119" s="1">
        <v>-5.6802674998345803E-7</v>
      </c>
      <c r="AV119" s="1">
        <v>-3.2823434926477702E-7</v>
      </c>
      <c r="AW119">
        <f t="shared" si="40"/>
        <v>4.2754687545210073E-5</v>
      </c>
      <c r="AY119" t="s">
        <v>336</v>
      </c>
      <c r="AZ119" t="s">
        <v>224</v>
      </c>
      <c r="BA119">
        <v>800</v>
      </c>
      <c r="BB119">
        <v>1.8714756802871935E-5</v>
      </c>
      <c r="BD119">
        <f t="shared" si="36"/>
        <v>9.2244240582428308E-5</v>
      </c>
      <c r="BF119">
        <f t="shared" si="37"/>
        <v>9.983195834733881E-5</v>
      </c>
      <c r="BH119">
        <f t="shared" si="29"/>
        <v>1.2387188908967694E-4</v>
      </c>
      <c r="BJ119">
        <f t="shared" si="30"/>
        <v>5.6675543342029608E-2</v>
      </c>
      <c r="BL119" s="1">
        <f t="shared" si="31"/>
        <v>7.3101915799142048E-2</v>
      </c>
      <c r="BN119">
        <f t="shared" si="32"/>
        <v>8.5760346827419856E-2</v>
      </c>
      <c r="BP119">
        <v>9.1362809233189246</v>
      </c>
      <c r="BQ119" s="4">
        <v>77.759999999999991</v>
      </c>
      <c r="BR119">
        <v>11.29</v>
      </c>
      <c r="BT119" s="1">
        <v>2.3935999999999999E-7</v>
      </c>
      <c r="BV119" s="11">
        <f t="shared" si="33"/>
        <v>7.8386648943946744</v>
      </c>
    </row>
    <row r="120" spans="1:74" x14ac:dyDescent="0.25">
      <c r="A120" t="s">
        <v>120</v>
      </c>
      <c r="B120" t="s">
        <v>5</v>
      </c>
      <c r="C120" s="1">
        <v>1.07E-3</v>
      </c>
      <c r="D120">
        <v>6.4239863013552576E-9</v>
      </c>
      <c r="F120" t="s">
        <v>120</v>
      </c>
      <c r="G120" t="s">
        <v>6</v>
      </c>
      <c r="H120" s="1">
        <v>1.08E-3</v>
      </c>
      <c r="I120">
        <v>6.4800290122807321E-9</v>
      </c>
      <c r="K120" t="s">
        <v>120</v>
      </c>
      <c r="L120" t="s">
        <v>7</v>
      </c>
      <c r="M120" s="1">
        <v>1.0300000000000001E-3</v>
      </c>
      <c r="N120">
        <v>6.1812074063244311E-9</v>
      </c>
      <c r="P120" t="s">
        <v>120</v>
      </c>
      <c r="Q120" t="s">
        <v>446</v>
      </c>
      <c r="R120">
        <v>4.6884325738992986E-9</v>
      </c>
      <c r="T120">
        <f t="shared" si="34"/>
        <v>-5.6042710925474506E-11</v>
      </c>
      <c r="V120" s="1">
        <f t="shared" si="35"/>
        <v>2.4277889503082654E-10</v>
      </c>
      <c r="X120">
        <f t="shared" si="27"/>
        <v>1.735553727455959E-9</v>
      </c>
      <c r="AA120" t="s">
        <v>337</v>
      </c>
      <c r="AB120" t="s">
        <v>224</v>
      </c>
      <c r="AC120">
        <v>350</v>
      </c>
      <c r="AD120" s="1">
        <v>1.50733571134255E-4</v>
      </c>
      <c r="AE120" s="1">
        <v>-7.7804245999007497E-7</v>
      </c>
      <c r="AF120" s="1">
        <v>3.8408723001599103E-6</v>
      </c>
      <c r="AG120">
        <f t="shared" si="38"/>
        <v>1.5078450556002494E-4</v>
      </c>
      <c r="AI120" t="s">
        <v>337</v>
      </c>
      <c r="AJ120" t="s">
        <v>224</v>
      </c>
      <c r="AK120">
        <v>550</v>
      </c>
      <c r="AL120" s="1">
        <v>5.7912902822019398E-5</v>
      </c>
      <c r="AM120" s="1">
        <v>-2.3606476299454101E-6</v>
      </c>
      <c r="AN120" s="1">
        <v>3.5056070082253102E-7</v>
      </c>
      <c r="AO120">
        <f t="shared" si="39"/>
        <v>5.7962055375136502E-5</v>
      </c>
      <c r="AQ120" t="s">
        <v>337</v>
      </c>
      <c r="AR120" t="s">
        <v>224</v>
      </c>
      <c r="AS120">
        <v>600</v>
      </c>
      <c r="AT120" s="1">
        <v>4.7641823472250702E-5</v>
      </c>
      <c r="AU120" s="1">
        <v>-2.7809997599321799E-6</v>
      </c>
      <c r="AV120" s="1">
        <v>-5.2115374919585003E-7</v>
      </c>
      <c r="AW120">
        <f t="shared" si="40"/>
        <v>4.7725767722019327E-5</v>
      </c>
      <c r="AY120" t="s">
        <v>337</v>
      </c>
      <c r="AZ120" t="s">
        <v>224</v>
      </c>
      <c r="BA120">
        <v>800</v>
      </c>
      <c r="BB120">
        <v>2.3330405612416516E-5</v>
      </c>
      <c r="BD120">
        <f t="shared" si="36"/>
        <v>9.2822450184888445E-5</v>
      </c>
      <c r="BF120">
        <f t="shared" si="37"/>
        <v>1.0305873783800562E-4</v>
      </c>
      <c r="BH120">
        <f t="shared" si="29"/>
        <v>1.2745409994760842E-4</v>
      </c>
      <c r="BJ120">
        <f t="shared" si="30"/>
        <v>-6.0376246063151534E-4</v>
      </c>
      <c r="BL120" s="1">
        <f t="shared" si="31"/>
        <v>2.3557332461459218E-3</v>
      </c>
      <c r="BN120">
        <f t="shared" si="32"/>
        <v>1.3617088255061076E-2</v>
      </c>
      <c r="BP120">
        <v>2.238151978709813</v>
      </c>
      <c r="BQ120" s="4">
        <v>77.779999999999987</v>
      </c>
      <c r="BR120">
        <v>11.83</v>
      </c>
      <c r="BT120" s="1">
        <v>2.3328000000000001E-7</v>
      </c>
      <c r="BV120" s="11">
        <f t="shared" si="33"/>
        <v>2.3277822642598194</v>
      </c>
    </row>
    <row r="121" spans="1:74" x14ac:dyDescent="0.25">
      <c r="A121" t="s">
        <v>121</v>
      </c>
      <c r="B121" t="s">
        <v>5</v>
      </c>
      <c r="C121" s="1">
        <v>1.14E-3</v>
      </c>
      <c r="D121">
        <v>6.8369259173988424E-9</v>
      </c>
      <c r="F121" t="s">
        <v>121</v>
      </c>
      <c r="G121" t="s">
        <v>6</v>
      </c>
      <c r="H121" s="1">
        <v>7.4100000000000001E-4</v>
      </c>
      <c r="I121">
        <v>4.444169326207092E-9</v>
      </c>
      <c r="K121" t="s">
        <v>121</v>
      </c>
      <c r="L121" t="s">
        <v>7</v>
      </c>
      <c r="M121" s="1">
        <v>6.4400000000000004E-4</v>
      </c>
      <c r="N121">
        <v>3.8603066406698837E-9</v>
      </c>
      <c r="P121" t="s">
        <v>121</v>
      </c>
      <c r="Q121" t="s">
        <v>446</v>
      </c>
      <c r="R121">
        <v>3.5430107253577428E-9</v>
      </c>
      <c r="T121">
        <f t="shared" si="34"/>
        <v>2.3927565911917504E-9</v>
      </c>
      <c r="V121" s="1">
        <f t="shared" si="35"/>
        <v>2.9766192767289586E-9</v>
      </c>
      <c r="X121">
        <f t="shared" si="27"/>
        <v>3.2939151920410996E-9</v>
      </c>
      <c r="AA121" t="s">
        <v>338</v>
      </c>
      <c r="AB121" t="s">
        <v>224</v>
      </c>
      <c r="AC121">
        <v>350</v>
      </c>
      <c r="AD121" s="1">
        <v>1.2427967977365E-4</v>
      </c>
      <c r="AE121" s="1">
        <v>-1.3108897900182E-6</v>
      </c>
      <c r="AF121" s="1">
        <v>1.9904989507692301E-6</v>
      </c>
      <c r="AG121">
        <f t="shared" si="38"/>
        <v>1.2430253144146171E-4</v>
      </c>
      <c r="AI121" t="s">
        <v>338</v>
      </c>
      <c r="AJ121" t="s">
        <v>224</v>
      </c>
      <c r="AK121">
        <v>550</v>
      </c>
      <c r="AL121" s="1">
        <v>4.8458570773531801E-5</v>
      </c>
      <c r="AM121" s="1">
        <v>-2.8630028399437601E-6</v>
      </c>
      <c r="AN121" s="1">
        <v>9.4757470079220298E-7</v>
      </c>
      <c r="AO121">
        <f t="shared" si="39"/>
        <v>4.8552319867216412E-5</v>
      </c>
      <c r="AQ121" t="s">
        <v>338</v>
      </c>
      <c r="AR121" t="s">
        <v>224</v>
      </c>
      <c r="AS121">
        <v>600</v>
      </c>
      <c r="AT121" s="1">
        <v>4.0091819923873797E-5</v>
      </c>
      <c r="AU121" s="1">
        <v>-1.93412799993383E-6</v>
      </c>
      <c r="AV121" s="1">
        <v>9.2561840079220304E-7</v>
      </c>
      <c r="AW121">
        <f t="shared" si="40"/>
        <v>4.0149117616111279E-5</v>
      </c>
      <c r="AY121" t="s">
        <v>338</v>
      </c>
      <c r="AZ121" t="s">
        <v>224</v>
      </c>
      <c r="BA121">
        <v>800</v>
      </c>
      <c r="BB121">
        <v>2.034897276865493E-5</v>
      </c>
      <c r="BD121">
        <f t="shared" si="36"/>
        <v>7.5750211574245291E-5</v>
      </c>
      <c r="BF121">
        <f t="shared" si="37"/>
        <v>8.415341382535043E-5</v>
      </c>
      <c r="BH121">
        <f t="shared" si="29"/>
        <v>1.0395355867280677E-4</v>
      </c>
      <c r="BJ121">
        <f t="shared" si="30"/>
        <v>3.1587457532663531E-2</v>
      </c>
      <c r="BL121" s="1">
        <f t="shared" si="31"/>
        <v>3.5371343138931338E-2</v>
      </c>
      <c r="BN121">
        <f t="shared" si="32"/>
        <v>3.1686411067548721E-2</v>
      </c>
      <c r="BP121">
        <v>3.5001174140426614</v>
      </c>
      <c r="BQ121" s="6">
        <v>77.799999999999983</v>
      </c>
      <c r="BR121">
        <v>9.56</v>
      </c>
      <c r="BT121" s="1">
        <v>2.3671000000000001E-7</v>
      </c>
      <c r="BV121" s="11">
        <f t="shared" si="33"/>
        <v>3.021248003002297</v>
      </c>
    </row>
    <row r="122" spans="1:74" x14ac:dyDescent="0.25">
      <c r="A122" t="s">
        <v>122</v>
      </c>
      <c r="B122" t="s">
        <v>5</v>
      </c>
      <c r="C122" s="1">
        <v>2.0999999999999999E-3</v>
      </c>
      <c r="D122">
        <v>1.2558821600771309E-8</v>
      </c>
      <c r="F122" t="s">
        <v>122</v>
      </c>
      <c r="G122" t="s">
        <v>6</v>
      </c>
      <c r="H122" s="1">
        <v>1.25E-3</v>
      </c>
      <c r="I122">
        <v>7.495618720292541E-9</v>
      </c>
      <c r="K122" t="s">
        <v>122</v>
      </c>
      <c r="L122" t="s">
        <v>7</v>
      </c>
      <c r="M122" s="1">
        <v>1.33E-3</v>
      </c>
      <c r="N122">
        <v>7.9786841020308608E-9</v>
      </c>
      <c r="P122" t="s">
        <v>122</v>
      </c>
      <c r="Q122" t="s">
        <v>446</v>
      </c>
      <c r="R122">
        <v>6.7196800519072342E-9</v>
      </c>
      <c r="T122">
        <f t="shared" si="34"/>
        <v>5.0632028804787681E-9</v>
      </c>
      <c r="V122" s="1">
        <f t="shared" si="35"/>
        <v>4.5801374987404483E-9</v>
      </c>
      <c r="X122">
        <f t="shared" si="27"/>
        <v>5.8391415488640749E-9</v>
      </c>
      <c r="AA122" t="s">
        <v>339</v>
      </c>
      <c r="AB122" t="s">
        <v>224</v>
      </c>
      <c r="AC122">
        <v>350</v>
      </c>
      <c r="AD122" s="1">
        <v>1.19380434272059E-4</v>
      </c>
      <c r="AE122" s="1">
        <v>-3.4634953099404499E-6</v>
      </c>
      <c r="AF122" s="1">
        <v>1.4100138508547E-6</v>
      </c>
      <c r="AG122">
        <f t="shared" ref="AG122:AG153" si="41">SQRT(AD122^2+AE122^2+AF122^2)</f>
        <v>1.1943898871728185E-4</v>
      </c>
      <c r="AI122" t="s">
        <v>339</v>
      </c>
      <c r="AJ122" t="s">
        <v>224</v>
      </c>
      <c r="AK122">
        <v>550</v>
      </c>
      <c r="AL122" s="1">
        <v>4.6050386847988099E-5</v>
      </c>
      <c r="AM122" s="1">
        <v>-4.3118966099487201E-6</v>
      </c>
      <c r="AN122" s="1">
        <v>-4.9771724918665897E-7</v>
      </c>
      <c r="AO122">
        <f t="shared" ref="AO122:AO153" si="42">SQRT(AL122^2+AM122^2+AN122^2)</f>
        <v>4.6254494956537793E-5</v>
      </c>
      <c r="AQ122" t="s">
        <v>339</v>
      </c>
      <c r="AR122" t="s">
        <v>224</v>
      </c>
      <c r="AS122">
        <v>600</v>
      </c>
      <c r="AT122" s="1">
        <v>3.9967238098389399E-5</v>
      </c>
      <c r="AU122" s="1">
        <v>-4.0117120499338301E-6</v>
      </c>
      <c r="AV122" s="1">
        <v>-5.1338269920779704E-7</v>
      </c>
      <c r="AW122">
        <f t="shared" si="40"/>
        <v>4.0171351938673651E-5</v>
      </c>
      <c r="AY122" t="s">
        <v>339</v>
      </c>
      <c r="AZ122" t="s">
        <v>224</v>
      </c>
      <c r="BA122">
        <v>800</v>
      </c>
      <c r="BB122">
        <v>1.8681598447370658E-5</v>
      </c>
      <c r="BD122">
        <f t="shared" si="36"/>
        <v>7.3184493760744052E-5</v>
      </c>
      <c r="BF122">
        <f t="shared" si="37"/>
        <v>7.9267636778608194E-5</v>
      </c>
      <c r="BH122">
        <f t="shared" si="29"/>
        <v>1.0075739026991119E-4</v>
      </c>
      <c r="BJ122">
        <f t="shared" si="30"/>
        <v>6.9184093792210605E-2</v>
      </c>
      <c r="BL122" s="1">
        <f t="shared" si="31"/>
        <v>5.7780674243293209E-2</v>
      </c>
      <c r="BN122">
        <f t="shared" si="32"/>
        <v>5.7952488975965423E-2</v>
      </c>
      <c r="BP122">
        <v>6.2272235987409017</v>
      </c>
      <c r="BQ122" s="4">
        <v>77.819999999999979</v>
      </c>
      <c r="BR122">
        <v>9.25</v>
      </c>
      <c r="BT122" s="1">
        <v>2.3495E-7</v>
      </c>
      <c r="BV122" s="11">
        <f t="shared" si="33"/>
        <v>5.7787207632544284</v>
      </c>
    </row>
    <row r="123" spans="1:74" x14ac:dyDescent="0.25">
      <c r="A123" t="s">
        <v>123</v>
      </c>
      <c r="B123" t="s">
        <v>5</v>
      </c>
      <c r="C123" s="1">
        <v>1.39E-3</v>
      </c>
      <c r="D123">
        <v>8.3407553614765609E-9</v>
      </c>
      <c r="F123" t="s">
        <v>123</v>
      </c>
      <c r="G123" t="s">
        <v>6</v>
      </c>
      <c r="H123" s="1">
        <v>9.4700000000000003E-4</v>
      </c>
      <c r="I123">
        <v>5.6826455247534136E-9</v>
      </c>
      <c r="K123" t="s">
        <v>123</v>
      </c>
      <c r="L123" t="s">
        <v>7</v>
      </c>
      <c r="M123" s="1">
        <v>9.3800000000000003E-4</v>
      </c>
      <c r="N123">
        <v>5.6278948995161585E-9</v>
      </c>
      <c r="P123" t="s">
        <v>123</v>
      </c>
      <c r="Q123" t="s">
        <v>446</v>
      </c>
      <c r="R123">
        <v>3.4971991650462235E-9</v>
      </c>
      <c r="T123">
        <f t="shared" si="34"/>
        <v>2.6581098367231473E-9</v>
      </c>
      <c r="V123" s="1">
        <f t="shared" si="35"/>
        <v>2.7128604619604024E-9</v>
      </c>
      <c r="X123">
        <f t="shared" si="27"/>
        <v>4.8435561964303378E-9</v>
      </c>
      <c r="AA123" t="s">
        <v>340</v>
      </c>
      <c r="AB123" t="s">
        <v>224</v>
      </c>
      <c r="AC123">
        <v>350</v>
      </c>
      <c r="AD123" s="1">
        <v>1.17250779398273E-4</v>
      </c>
      <c r="AE123" s="1">
        <v>-2.2594266199718801E-6</v>
      </c>
      <c r="AF123" s="1">
        <v>2.1202631507820899E-6</v>
      </c>
      <c r="AG123">
        <f t="shared" si="41"/>
        <v>1.1729171238404734E-4</v>
      </c>
      <c r="AI123" t="s">
        <v>340</v>
      </c>
      <c r="AJ123" t="s">
        <v>224</v>
      </c>
      <c r="AK123">
        <v>550</v>
      </c>
      <c r="AL123" s="1">
        <v>4.6160772453084798E-5</v>
      </c>
      <c r="AM123" s="1">
        <v>-3.0201507397369699E-6</v>
      </c>
      <c r="AN123" s="1">
        <v>1.80670745053396E-6</v>
      </c>
      <c r="AO123">
        <f t="shared" si="42"/>
        <v>4.6294734212089619E-5</v>
      </c>
      <c r="AQ123" t="s">
        <v>340</v>
      </c>
      <c r="AR123" t="s">
        <v>224</v>
      </c>
      <c r="AS123">
        <v>600</v>
      </c>
      <c r="AT123" s="1">
        <v>3.8476369133320003E-5</v>
      </c>
      <c r="AU123" s="1">
        <v>-3.3336324298957801E-6</v>
      </c>
      <c r="AV123" s="1">
        <v>1.72949035025825E-6</v>
      </c>
      <c r="AW123">
        <f t="shared" si="40"/>
        <v>3.8659219129889178E-5</v>
      </c>
      <c r="AY123" t="s">
        <v>340</v>
      </c>
      <c r="AZ123" t="s">
        <v>224</v>
      </c>
      <c r="BA123">
        <v>800</v>
      </c>
      <c r="BB123">
        <v>1.6868135023365381E-5</v>
      </c>
      <c r="BD123">
        <f t="shared" si="36"/>
        <v>7.0996978171957722E-5</v>
      </c>
      <c r="BF123">
        <f t="shared" si="37"/>
        <v>7.8632493254158169E-5</v>
      </c>
      <c r="BH123">
        <f t="shared" si="29"/>
        <v>1.0042357736068195E-4</v>
      </c>
      <c r="BJ123">
        <f t="shared" si="30"/>
        <v>3.7439760186484157E-2</v>
      </c>
      <c r="BL123" s="1">
        <f t="shared" si="31"/>
        <v>3.450050163348907E-2</v>
      </c>
      <c r="BN123">
        <f t="shared" si="32"/>
        <v>4.8231265243959508E-2</v>
      </c>
      <c r="BP123">
        <v>3.5442098490753549</v>
      </c>
      <c r="BQ123" s="4">
        <v>77.839999999999975</v>
      </c>
      <c r="BR123">
        <v>9.11</v>
      </c>
      <c r="BT123" s="1">
        <v>2.4522000000000002E-7</v>
      </c>
      <c r="BV123" s="11">
        <f t="shared" si="33"/>
        <v>3.7336286310062041</v>
      </c>
    </row>
    <row r="124" spans="1:74" x14ac:dyDescent="0.25">
      <c r="A124" t="s">
        <v>124</v>
      </c>
      <c r="B124" t="s">
        <v>5</v>
      </c>
      <c r="C124" s="1">
        <v>1.5100000000000001E-3</v>
      </c>
      <c r="D124">
        <v>9.061169902391191E-9</v>
      </c>
      <c r="F124" t="s">
        <v>124</v>
      </c>
      <c r="G124" t="s">
        <v>6</v>
      </c>
      <c r="H124" s="1">
        <v>8.7699999999999996E-4</v>
      </c>
      <c r="I124">
        <v>5.2665928264865889E-9</v>
      </c>
      <c r="K124" t="s">
        <v>124</v>
      </c>
      <c r="L124" t="s">
        <v>7</v>
      </c>
      <c r="M124" s="1">
        <v>7.7099999999999998E-4</v>
      </c>
      <c r="N124">
        <v>4.6262132462738893E-9</v>
      </c>
      <c r="P124" t="s">
        <v>124</v>
      </c>
      <c r="Q124" t="s">
        <v>446</v>
      </c>
      <c r="R124">
        <v>3.4145759619607239E-9</v>
      </c>
      <c r="T124">
        <f t="shared" si="34"/>
        <v>3.7945770759046021E-9</v>
      </c>
      <c r="V124" s="1">
        <f t="shared" si="35"/>
        <v>4.4349566561173016E-9</v>
      </c>
      <c r="X124">
        <f t="shared" si="27"/>
        <v>5.6465939404304671E-9</v>
      </c>
      <c r="AA124" t="s">
        <v>341</v>
      </c>
      <c r="AB124" t="s">
        <v>224</v>
      </c>
      <c r="AC124">
        <v>350</v>
      </c>
      <c r="AD124" s="1">
        <v>9.35324254229822E-5</v>
      </c>
      <c r="AE124" s="1">
        <v>5.3277332004631904E-7</v>
      </c>
      <c r="AF124" s="1">
        <v>1.39225145080139E-6</v>
      </c>
      <c r="AG124">
        <f t="shared" si="41"/>
        <v>9.3544304033001057E-5</v>
      </c>
      <c r="AI124" t="s">
        <v>341</v>
      </c>
      <c r="AJ124" t="s">
        <v>224</v>
      </c>
      <c r="AK124">
        <v>550</v>
      </c>
      <c r="AL124" s="1">
        <v>3.6233763607376898E-5</v>
      </c>
      <c r="AM124" s="1">
        <v>1.17488408002812E-6</v>
      </c>
      <c r="AN124" s="1">
        <v>1.03675675027479E-6</v>
      </c>
      <c r="AO124">
        <f t="shared" si="42"/>
        <v>3.6267628021639552E-5</v>
      </c>
      <c r="AQ124" t="s">
        <v>341</v>
      </c>
      <c r="AR124" t="s">
        <v>224</v>
      </c>
      <c r="AS124">
        <v>600</v>
      </c>
      <c r="AT124" s="1">
        <v>2.9383709128304301E-5</v>
      </c>
      <c r="AU124" s="1">
        <v>3.9913592988751103E-7</v>
      </c>
      <c r="AV124" s="1">
        <v>5.0067765047789499E-7</v>
      </c>
      <c r="AW124">
        <f t="shared" si="40"/>
        <v>2.9390684744269039E-5</v>
      </c>
      <c r="AY124" t="s">
        <v>341</v>
      </c>
      <c r="AZ124" t="s">
        <v>224</v>
      </c>
      <c r="BA124">
        <v>800</v>
      </c>
      <c r="BB124">
        <v>1.3470813503132552E-5</v>
      </c>
      <c r="BD124">
        <f t="shared" si="36"/>
        <v>5.7276676011361505E-5</v>
      </c>
      <c r="BF124">
        <f t="shared" si="37"/>
        <v>6.4153619288732011E-5</v>
      </c>
      <c r="BH124">
        <f t="shared" si="29"/>
        <v>8.0073490529868505E-5</v>
      </c>
      <c r="BJ124">
        <f t="shared" si="30"/>
        <v>6.6249952688453892E-2</v>
      </c>
      <c r="BL124" s="1">
        <f t="shared" si="31"/>
        <v>6.913026428263043E-2</v>
      </c>
      <c r="BN124">
        <f t="shared" si="32"/>
        <v>7.0517644517122807E-2</v>
      </c>
      <c r="BP124">
        <v>5.2771661326501889</v>
      </c>
      <c r="BQ124" s="4">
        <v>77.859999999999971</v>
      </c>
      <c r="BR124">
        <v>6.98</v>
      </c>
      <c r="BT124" s="1">
        <v>2.4115000000000001E-7</v>
      </c>
      <c r="BV124" s="11">
        <f t="shared" si="33"/>
        <v>5.3832132578619456</v>
      </c>
    </row>
    <row r="125" spans="1:74" x14ac:dyDescent="0.25">
      <c r="A125" t="s">
        <v>125</v>
      </c>
      <c r="B125" t="s">
        <v>5</v>
      </c>
      <c r="C125" s="1">
        <v>1.64E-3</v>
      </c>
      <c r="D125">
        <v>9.8420028957524696E-9</v>
      </c>
      <c r="F125" t="s">
        <v>125</v>
      </c>
      <c r="G125" t="s">
        <v>6</v>
      </c>
      <c r="H125" s="1">
        <v>1.1900000000000001E-3</v>
      </c>
      <c r="I125">
        <v>7.1386797799032847E-9</v>
      </c>
      <c r="K125" t="s">
        <v>125</v>
      </c>
      <c r="L125" t="s">
        <v>7</v>
      </c>
      <c r="M125" s="1">
        <v>1.3799999999999999E-3</v>
      </c>
      <c r="N125">
        <v>8.2827109088751857E-9</v>
      </c>
      <c r="P125" t="s">
        <v>125</v>
      </c>
      <c r="Q125" t="s">
        <v>446</v>
      </c>
      <c r="R125">
        <v>6.4836101054890706E-9</v>
      </c>
      <c r="T125">
        <f t="shared" si="34"/>
        <v>2.7033231158491849E-9</v>
      </c>
      <c r="V125" s="1">
        <f t="shared" si="35"/>
        <v>1.5592919868772839E-9</v>
      </c>
      <c r="X125">
        <f t="shared" si="27"/>
        <v>3.358392790263399E-9</v>
      </c>
      <c r="AA125" t="s">
        <v>342</v>
      </c>
      <c r="AB125" t="s">
        <v>224</v>
      </c>
      <c r="AC125">
        <v>350</v>
      </c>
      <c r="AD125" s="1">
        <v>1.5775672225700301E-4</v>
      </c>
      <c r="AE125" s="1">
        <v>-4.5005480998180299E-7</v>
      </c>
      <c r="AF125" s="1">
        <v>2.4582421503189001E-6</v>
      </c>
      <c r="AG125">
        <f t="shared" si="41"/>
        <v>1.5777651574640244E-4</v>
      </c>
      <c r="AI125" t="s">
        <v>342</v>
      </c>
      <c r="AJ125" t="s">
        <v>224</v>
      </c>
      <c r="AK125">
        <v>550</v>
      </c>
      <c r="AL125" s="1">
        <v>6.0825517097306002E-5</v>
      </c>
      <c r="AM125" s="1">
        <v>-4.7699444995037195E-7</v>
      </c>
      <c r="AN125" s="1">
        <v>2.1531976008547E-6</v>
      </c>
      <c r="AO125">
        <f t="shared" si="42"/>
        <v>6.0865485406495151E-5</v>
      </c>
      <c r="AQ125" t="s">
        <v>342</v>
      </c>
      <c r="AR125" t="s">
        <v>224</v>
      </c>
      <c r="AS125">
        <v>600</v>
      </c>
      <c r="AT125" s="1">
        <v>4.8480992847440503E-5</v>
      </c>
      <c r="AU125" s="1">
        <v>9.4880820054590397E-8</v>
      </c>
      <c r="AV125" s="1">
        <v>3.8999569508353996E-6</v>
      </c>
      <c r="AW125">
        <f t="shared" si="40"/>
        <v>4.8637694580047282E-5</v>
      </c>
      <c r="AY125" t="s">
        <v>342</v>
      </c>
      <c r="AZ125" t="s">
        <v>224</v>
      </c>
      <c r="BA125">
        <v>800</v>
      </c>
      <c r="BB125">
        <v>2.1705414309224694E-5</v>
      </c>
      <c r="BD125">
        <f t="shared" si="36"/>
        <v>9.6911030339907298E-5</v>
      </c>
      <c r="BF125">
        <f t="shared" si="37"/>
        <v>1.0913882116635515E-4</v>
      </c>
      <c r="BH125">
        <f t="shared" si="29"/>
        <v>1.3607110143717775E-4</v>
      </c>
      <c r="BJ125">
        <f t="shared" si="30"/>
        <v>2.7894896033686837E-2</v>
      </c>
      <c r="BL125" s="1">
        <f t="shared" si="31"/>
        <v>1.4287235011458743E-2</v>
      </c>
      <c r="BN125">
        <f t="shared" si="32"/>
        <v>2.4681161207575915E-2</v>
      </c>
      <c r="BP125">
        <v>3.4506744563046516</v>
      </c>
      <c r="BQ125" s="3">
        <v>77.89</v>
      </c>
      <c r="BR125">
        <v>11.91</v>
      </c>
      <c r="BT125" s="1">
        <v>2.4382000000000002E-7</v>
      </c>
      <c r="BV125" s="11">
        <f t="shared" si="33"/>
        <v>3.389240598803934</v>
      </c>
    </row>
    <row r="126" spans="1:74" x14ac:dyDescent="0.25">
      <c r="A126" t="s">
        <v>126</v>
      </c>
      <c r="B126" t="s">
        <v>5</v>
      </c>
      <c r="C126" s="1">
        <v>1.2999999999999999E-3</v>
      </c>
      <c r="D126">
        <v>7.800493574127217E-9</v>
      </c>
      <c r="F126" t="s">
        <v>126</v>
      </c>
      <c r="G126" t="s">
        <v>6</v>
      </c>
      <c r="H126" s="1">
        <v>1.1299999999999999E-3</v>
      </c>
      <c r="I126">
        <v>6.7787757006704385E-9</v>
      </c>
      <c r="K126" t="s">
        <v>126</v>
      </c>
      <c r="L126" t="s">
        <v>7</v>
      </c>
      <c r="M126" s="1">
        <v>9.5799999999999998E-4</v>
      </c>
      <c r="N126">
        <v>5.7460769225620364E-9</v>
      </c>
      <c r="P126" t="s">
        <v>126</v>
      </c>
      <c r="Q126" t="s">
        <v>446</v>
      </c>
      <c r="R126">
        <v>5.3219357380562198E-9</v>
      </c>
      <c r="T126">
        <f t="shared" si="34"/>
        <v>1.0217178734567786E-9</v>
      </c>
      <c r="V126" s="1">
        <f t="shared" si="35"/>
        <v>2.0544166515651806E-9</v>
      </c>
      <c r="X126">
        <f t="shared" si="27"/>
        <v>2.4785578360709972E-9</v>
      </c>
      <c r="AA126" t="s">
        <v>343</v>
      </c>
      <c r="AB126" t="s">
        <v>224</v>
      </c>
      <c r="AC126">
        <v>350</v>
      </c>
      <c r="AD126" s="1">
        <v>1.4090023082186499E-4</v>
      </c>
      <c r="AE126" s="1">
        <v>2.6692940007444098E-7</v>
      </c>
      <c r="AF126" s="1">
        <v>2.9182143008096598E-6</v>
      </c>
      <c r="AG126">
        <f t="shared" si="41"/>
        <v>1.409307002454217E-4</v>
      </c>
      <c r="AI126" t="s">
        <v>343</v>
      </c>
      <c r="AJ126" t="s">
        <v>224</v>
      </c>
      <c r="AK126">
        <v>550</v>
      </c>
      <c r="AL126" s="1">
        <v>5.3330573679953103E-5</v>
      </c>
      <c r="AM126" s="1">
        <v>6.7684612016211695E-7</v>
      </c>
      <c r="AN126" s="1">
        <v>7.8462935041907699E-7</v>
      </c>
      <c r="AO126">
        <f t="shared" si="42"/>
        <v>5.3340639787321857E-5</v>
      </c>
      <c r="AQ126" t="s">
        <v>343</v>
      </c>
      <c r="AR126" t="s">
        <v>224</v>
      </c>
      <c r="AS126">
        <v>600</v>
      </c>
      <c r="AT126" s="1">
        <v>4.3871863357463897E-5</v>
      </c>
      <c r="AU126" s="1">
        <v>-1.3277393991894201E-7</v>
      </c>
      <c r="AV126" s="1">
        <v>-3.0603134974726699E-7</v>
      </c>
      <c r="AW126">
        <f t="shared" si="40"/>
        <v>4.3873131624744238E-5</v>
      </c>
      <c r="AY126" t="s">
        <v>343</v>
      </c>
      <c r="AZ126" t="s">
        <v>224</v>
      </c>
      <c r="BA126">
        <v>800</v>
      </c>
      <c r="BB126">
        <v>1.8584264320329008E-5</v>
      </c>
      <c r="BD126">
        <f t="shared" si="36"/>
        <v>8.7590060458099837E-5</v>
      </c>
      <c r="BF126">
        <f t="shared" si="37"/>
        <v>9.7057568620677456E-5</v>
      </c>
      <c r="BH126">
        <f t="shared" si="29"/>
        <v>1.2234643592509269E-4</v>
      </c>
      <c r="BJ126">
        <f t="shared" si="30"/>
        <v>1.1664769588160456E-2</v>
      </c>
      <c r="BL126" s="1">
        <f t="shared" si="31"/>
        <v>2.1166990691826388E-2</v>
      </c>
      <c r="BN126">
        <f t="shared" si="32"/>
        <v>2.0258520955923134E-2</v>
      </c>
      <c r="BP126">
        <v>3.6390047905740017</v>
      </c>
      <c r="BQ126" s="6">
        <v>77.91</v>
      </c>
      <c r="BR126">
        <v>10.99</v>
      </c>
      <c r="BT126" s="1">
        <v>2.4453999999999999E-7</v>
      </c>
      <c r="BV126" s="11">
        <f t="shared" si="33"/>
        <v>2.9025150689148242</v>
      </c>
    </row>
    <row r="127" spans="1:74" x14ac:dyDescent="0.25">
      <c r="A127" t="s">
        <v>127</v>
      </c>
      <c r="B127" t="s">
        <v>5</v>
      </c>
      <c r="C127" s="1">
        <v>4.1900000000000001E-3</v>
      </c>
      <c r="D127">
        <v>2.5125305490680108E-8</v>
      </c>
      <c r="F127" t="s">
        <v>127</v>
      </c>
      <c r="G127" t="s">
        <v>6</v>
      </c>
      <c r="H127" s="1">
        <v>3.3400000000000001E-3</v>
      </c>
      <c r="I127">
        <v>2.0006908806709744E-8</v>
      </c>
      <c r="K127" t="s">
        <v>127</v>
      </c>
      <c r="L127" t="s">
        <v>7</v>
      </c>
      <c r="M127" s="1">
        <v>3.1700000000000001E-3</v>
      </c>
      <c r="N127">
        <v>1.9005163114269763E-8</v>
      </c>
      <c r="P127" t="s">
        <v>127</v>
      </c>
      <c r="Q127" t="s">
        <v>446</v>
      </c>
      <c r="R127">
        <v>1.3699518239704635E-8</v>
      </c>
      <c r="T127">
        <f t="shared" si="34"/>
        <v>5.1183966839703637E-9</v>
      </c>
      <c r="V127" s="1">
        <f t="shared" si="35"/>
        <v>6.1201423764103444E-9</v>
      </c>
      <c r="X127">
        <f t="shared" si="27"/>
        <v>1.1425787250975473E-8</v>
      </c>
      <c r="AA127" t="s">
        <v>344</v>
      </c>
      <c r="AB127" t="s">
        <v>224</v>
      </c>
      <c r="AC127">
        <v>350</v>
      </c>
      <c r="AD127" s="1">
        <v>1.44503153132691E-4</v>
      </c>
      <c r="AE127" s="1">
        <v>2.10185933002812E-6</v>
      </c>
      <c r="AF127" s="1">
        <v>4.7128334502233202E-6</v>
      </c>
      <c r="AG127">
        <f t="shared" si="41"/>
        <v>1.4459526229120619E-4</v>
      </c>
      <c r="AI127" t="s">
        <v>344</v>
      </c>
      <c r="AJ127" t="s">
        <v>224</v>
      </c>
      <c r="AK127">
        <v>550</v>
      </c>
      <c r="AL127" s="1">
        <v>5.4082044872147903E-5</v>
      </c>
      <c r="AM127" s="1">
        <v>2.0318705400512801E-6</v>
      </c>
      <c r="AN127" s="1">
        <v>3.1116271008023101E-6</v>
      </c>
      <c r="AO127">
        <f t="shared" si="42"/>
        <v>5.4209577554699638E-5</v>
      </c>
      <c r="AQ127" t="s">
        <v>344</v>
      </c>
      <c r="AR127" t="s">
        <v>224</v>
      </c>
      <c r="AS127">
        <v>600</v>
      </c>
      <c r="AT127" s="1">
        <v>4.3265361697027303E-5</v>
      </c>
      <c r="AU127" s="1">
        <v>2.7261830200297801E-6</v>
      </c>
      <c r="AV127" s="1">
        <v>2.3854656508013901E-6</v>
      </c>
      <c r="AW127">
        <f t="shared" si="40"/>
        <v>4.3416748415841202E-5</v>
      </c>
      <c r="AY127" t="s">
        <v>344</v>
      </c>
      <c r="AZ127" t="s">
        <v>224</v>
      </c>
      <c r="BA127">
        <v>800</v>
      </c>
      <c r="BB127">
        <v>1.9212855058906256E-5</v>
      </c>
      <c r="BD127">
        <f t="shared" si="36"/>
        <v>9.0385684736506546E-5</v>
      </c>
      <c r="BF127">
        <f t="shared" si="37"/>
        <v>1.0117851387536499E-4</v>
      </c>
      <c r="BH127">
        <f t="shared" si="29"/>
        <v>1.2538240723229994E-4</v>
      </c>
      <c r="BJ127">
        <f t="shared" si="30"/>
        <v>5.6628399717185036E-2</v>
      </c>
      <c r="BL127" s="1">
        <f t="shared" si="31"/>
        <v>6.0488557718384128E-2</v>
      </c>
      <c r="BN127">
        <f t="shared" si="32"/>
        <v>9.11275154400773E-2</v>
      </c>
      <c r="BP127">
        <v>10.406083691413697</v>
      </c>
      <c r="BQ127" s="4">
        <v>77.929999999999993</v>
      </c>
      <c r="BR127">
        <v>10.99</v>
      </c>
      <c r="BT127" s="1">
        <v>2.4500999999999999E-7</v>
      </c>
      <c r="BV127" s="11">
        <f t="shared" si="33"/>
        <v>9.3310356390274567</v>
      </c>
    </row>
    <row r="128" spans="1:74" x14ac:dyDescent="0.25">
      <c r="A128" t="s">
        <v>128</v>
      </c>
      <c r="B128" t="s">
        <v>5</v>
      </c>
      <c r="C128" s="1">
        <v>2.5200000000000001E-3</v>
      </c>
      <c r="D128">
        <v>1.5085453258023108E-8</v>
      </c>
      <c r="F128" t="s">
        <v>128</v>
      </c>
      <c r="G128" t="s">
        <v>6</v>
      </c>
      <c r="H128" s="1">
        <v>1.8E-3</v>
      </c>
      <c r="I128">
        <v>1.0800078703416935E-8</v>
      </c>
      <c r="K128" t="s">
        <v>128</v>
      </c>
      <c r="L128" t="s">
        <v>7</v>
      </c>
      <c r="M128" s="1">
        <v>1.8799999999999999E-3</v>
      </c>
      <c r="N128">
        <v>1.1282375636363113E-8</v>
      </c>
      <c r="P128" t="s">
        <v>128</v>
      </c>
      <c r="Q128" t="s">
        <v>446</v>
      </c>
      <c r="R128">
        <v>5.8888793500970964E-9</v>
      </c>
      <c r="T128">
        <f t="shared" si="34"/>
        <v>4.2853745546061729E-9</v>
      </c>
      <c r="V128" s="1">
        <f t="shared" si="35"/>
        <v>3.803077621659995E-9</v>
      </c>
      <c r="X128">
        <f t="shared" si="27"/>
        <v>9.1965739079260126E-9</v>
      </c>
      <c r="AA128" t="s">
        <v>345</v>
      </c>
      <c r="AB128" t="s">
        <v>224</v>
      </c>
      <c r="AC128">
        <v>350</v>
      </c>
      <c r="AD128" s="1">
        <v>1.2324808742206699E-4</v>
      </c>
      <c r="AE128" s="1">
        <v>1.52282976007279E-6</v>
      </c>
      <c r="AF128" s="1">
        <v>2.7759917508528598E-6</v>
      </c>
      <c r="AG128">
        <f t="shared" si="41"/>
        <v>1.2328875128687303E-4</v>
      </c>
      <c r="AI128" t="s">
        <v>345</v>
      </c>
      <c r="AJ128" t="s">
        <v>224</v>
      </c>
      <c r="AK128">
        <v>550</v>
      </c>
      <c r="AL128" s="1">
        <v>4.69201157084722E-5</v>
      </c>
      <c r="AM128" s="1">
        <v>1.43132873008602E-6</v>
      </c>
      <c r="AN128" s="1">
        <v>1.00345225021873E-6</v>
      </c>
      <c r="AO128">
        <f t="shared" si="42"/>
        <v>4.6952666340139391E-5</v>
      </c>
      <c r="AQ128" t="s">
        <v>345</v>
      </c>
      <c r="AR128" t="s">
        <v>224</v>
      </c>
      <c r="AS128">
        <v>600</v>
      </c>
      <c r="AT128" s="1">
        <v>4.0405728982861302E-5</v>
      </c>
      <c r="AU128" s="1">
        <v>1.6287627400264699E-6</v>
      </c>
      <c r="AV128" s="1">
        <v>8.4704445022975704E-7</v>
      </c>
      <c r="AW128">
        <f t="shared" si="40"/>
        <v>4.0447413848111495E-5</v>
      </c>
      <c r="AY128" t="s">
        <v>345</v>
      </c>
      <c r="AZ128" t="s">
        <v>224</v>
      </c>
      <c r="BA128">
        <v>800</v>
      </c>
      <c r="BB128">
        <v>1.6422529205147419E-5</v>
      </c>
      <c r="BD128">
        <f t="shared" si="36"/>
        <v>7.6336084946733643E-5</v>
      </c>
      <c r="BF128">
        <f t="shared" si="37"/>
        <v>8.2841337438761532E-5</v>
      </c>
      <c r="BH128">
        <f t="shared" si="29"/>
        <v>1.0686622208172561E-4</v>
      </c>
      <c r="BJ128">
        <f t="shared" si="30"/>
        <v>5.6138254373360293E-2</v>
      </c>
      <c r="BL128" s="1">
        <f t="shared" si="31"/>
        <v>4.5907969852265224E-2</v>
      </c>
      <c r="BN128">
        <f t="shared" si="32"/>
        <v>8.6056882415970135E-2</v>
      </c>
      <c r="BP128">
        <v>7.115157525651286</v>
      </c>
      <c r="BQ128" s="4">
        <v>77.949999999999989</v>
      </c>
      <c r="BR128">
        <v>9.52</v>
      </c>
      <c r="BT128" s="1">
        <v>2.4410000000000002E-7</v>
      </c>
      <c r="BV128" s="11">
        <f t="shared" si="33"/>
        <v>6.4916281633195112</v>
      </c>
    </row>
    <row r="129" spans="1:74" x14ac:dyDescent="0.25">
      <c r="A129" t="s">
        <v>129</v>
      </c>
      <c r="B129" t="s">
        <v>5</v>
      </c>
      <c r="C129" s="1">
        <v>2.7799999999999999E-3</v>
      </c>
      <c r="D129">
        <v>1.6666964330675219E-8</v>
      </c>
      <c r="F129" t="s">
        <v>129</v>
      </c>
      <c r="G129" t="s">
        <v>6</v>
      </c>
      <c r="H129" s="1">
        <v>2.1800000000000001E-3</v>
      </c>
      <c r="I129">
        <v>1.3082048769210425E-8</v>
      </c>
      <c r="K129" t="s">
        <v>129</v>
      </c>
      <c r="L129" t="s">
        <v>7</v>
      </c>
      <c r="M129" s="1">
        <v>2.16E-3</v>
      </c>
      <c r="N129">
        <v>1.2975611738950883E-8</v>
      </c>
      <c r="P129" t="s">
        <v>129</v>
      </c>
      <c r="Q129" t="s">
        <v>446</v>
      </c>
      <c r="R129">
        <v>1.0075969233775974E-8</v>
      </c>
      <c r="T129">
        <f t="shared" si="34"/>
        <v>3.5849155614647935E-9</v>
      </c>
      <c r="V129" s="1">
        <f t="shared" si="35"/>
        <v>3.6913525917243356E-9</v>
      </c>
      <c r="X129">
        <f t="shared" si="27"/>
        <v>6.590995096899245E-9</v>
      </c>
      <c r="AA129" t="s">
        <v>346</v>
      </c>
      <c r="AB129" t="s">
        <v>224</v>
      </c>
      <c r="AC129">
        <v>350</v>
      </c>
      <c r="AD129" s="1">
        <v>1.3354433080386001E-4</v>
      </c>
      <c r="AE129" s="1">
        <v>-3.4298701012241498E-7</v>
      </c>
      <c r="AF129" s="1">
        <v>3.00098215044849E-6</v>
      </c>
      <c r="AG129">
        <f t="shared" si="41"/>
        <v>1.3357848563225747E-4</v>
      </c>
      <c r="AI129" t="s">
        <v>346</v>
      </c>
      <c r="AJ129" t="s">
        <v>224</v>
      </c>
      <c r="AK129">
        <v>550</v>
      </c>
      <c r="AL129" s="1">
        <v>5.2282087372646097E-5</v>
      </c>
      <c r="AM129" s="1">
        <v>8.0505611007278698E-7</v>
      </c>
      <c r="AN129" s="1">
        <v>1.1969884008216101E-6</v>
      </c>
      <c r="AO129">
        <f t="shared" si="42"/>
        <v>5.2301984251202811E-5</v>
      </c>
      <c r="AQ129" t="s">
        <v>346</v>
      </c>
      <c r="AR129" t="s">
        <v>224</v>
      </c>
      <c r="AS129">
        <v>600</v>
      </c>
      <c r="AT129" s="1">
        <v>4.18827112978754E-5</v>
      </c>
      <c r="AU129" s="1">
        <v>7.2206623006120696E-7</v>
      </c>
      <c r="AV129" s="1">
        <v>4.3258845080598899E-7</v>
      </c>
      <c r="AW129">
        <f t="shared" si="40"/>
        <v>4.1891168736018162E-5</v>
      </c>
      <c r="AY129" t="s">
        <v>346</v>
      </c>
      <c r="AZ129" t="s">
        <v>224</v>
      </c>
      <c r="BA129">
        <v>800</v>
      </c>
      <c r="BB129">
        <v>1.7999067562215783E-5</v>
      </c>
      <c r="BD129">
        <f t="shared" si="36"/>
        <v>8.1276501381054661E-5</v>
      </c>
      <c r="BF129">
        <f t="shared" si="37"/>
        <v>9.1687316896239303E-5</v>
      </c>
      <c r="BH129">
        <f t="shared" si="29"/>
        <v>1.1557941807004169E-4</v>
      </c>
      <c r="BJ129">
        <f t="shared" si="30"/>
        <v>4.4107651049807954E-2</v>
      </c>
      <c r="BL129" s="1">
        <f t="shared" si="31"/>
        <v>4.0260231367679408E-2</v>
      </c>
      <c r="BN129">
        <f t="shared" si="32"/>
        <v>5.702568162183573E-2</v>
      </c>
      <c r="BP129">
        <v>7.2211454716829433</v>
      </c>
      <c r="BQ129" s="4">
        <v>77.969999999999985</v>
      </c>
      <c r="BR129">
        <v>10.199999999999999</v>
      </c>
      <c r="BT129" s="1">
        <v>2.4114E-7</v>
      </c>
      <c r="BV129" s="11">
        <f t="shared" si="33"/>
        <v>6.7762134479991358</v>
      </c>
    </row>
    <row r="130" spans="1:74" x14ac:dyDescent="0.25">
      <c r="A130" t="s">
        <v>130</v>
      </c>
      <c r="B130" t="s">
        <v>5</v>
      </c>
      <c r="C130" s="1">
        <v>2.7299999999999998E-3</v>
      </c>
      <c r="D130">
        <v>1.6400734739638954E-8</v>
      </c>
      <c r="F130" t="s">
        <v>130</v>
      </c>
      <c r="G130" t="s">
        <v>6</v>
      </c>
      <c r="H130" s="1">
        <v>1.99E-3</v>
      </c>
      <c r="I130">
        <v>1.194234901516448E-8</v>
      </c>
      <c r="K130" t="s">
        <v>130</v>
      </c>
      <c r="L130" t="s">
        <v>7</v>
      </c>
      <c r="M130" s="1">
        <v>1.7899999999999999E-3</v>
      </c>
      <c r="N130">
        <v>1.0741931856048985E-8</v>
      </c>
      <c r="P130" t="s">
        <v>130</v>
      </c>
      <c r="Q130" t="s">
        <v>446</v>
      </c>
      <c r="R130">
        <v>8.2814150964675118E-9</v>
      </c>
      <c r="T130">
        <f t="shared" si="34"/>
        <v>4.4583857244744742E-9</v>
      </c>
      <c r="V130" s="1">
        <f t="shared" si="35"/>
        <v>5.6588028835899688E-9</v>
      </c>
      <c r="X130">
        <f t="shared" si="27"/>
        <v>8.119319643171442E-9</v>
      </c>
      <c r="AA130" t="s">
        <v>347</v>
      </c>
      <c r="AB130" t="s">
        <v>224</v>
      </c>
      <c r="AC130">
        <v>350</v>
      </c>
      <c r="AD130" s="1">
        <v>1.15909214024852E-4</v>
      </c>
      <c r="AE130" s="1">
        <v>-1.3269992979652699E-7</v>
      </c>
      <c r="AF130" s="1">
        <v>3.209813700681E-6</v>
      </c>
      <c r="AG130">
        <f t="shared" si="41"/>
        <v>1.159537252921328E-4</v>
      </c>
      <c r="AI130" t="s">
        <v>347</v>
      </c>
      <c r="AJ130" t="s">
        <v>224</v>
      </c>
      <c r="AK130">
        <v>550</v>
      </c>
      <c r="AL130" s="1">
        <v>4.3024954607574602E-5</v>
      </c>
      <c r="AM130" s="1">
        <v>1.4742791998841999E-7</v>
      </c>
      <c r="AN130" s="1">
        <v>2.4195102502159701E-6</v>
      </c>
      <c r="AO130">
        <f t="shared" si="42"/>
        <v>4.3093183728129758E-5</v>
      </c>
      <c r="AQ130" t="s">
        <v>347</v>
      </c>
      <c r="AR130" t="s">
        <v>224</v>
      </c>
      <c r="AS130">
        <v>600</v>
      </c>
      <c r="AT130" s="1">
        <v>3.5547435827754701E-5</v>
      </c>
      <c r="AU130" s="1">
        <v>5.4481227989578205E-7</v>
      </c>
      <c r="AV130" s="1">
        <v>1.9315376504530801E-6</v>
      </c>
      <c r="AW130">
        <f t="shared" si="40"/>
        <v>3.5604042636248224E-5</v>
      </c>
      <c r="AY130" t="s">
        <v>347</v>
      </c>
      <c r="AZ130" t="s">
        <v>224</v>
      </c>
      <c r="BA130">
        <v>800</v>
      </c>
      <c r="BB130">
        <v>1.6241740407948157E-5</v>
      </c>
      <c r="BD130">
        <f t="shared" si="36"/>
        <v>7.2860541564003038E-5</v>
      </c>
      <c r="BF130">
        <f t="shared" si="37"/>
        <v>8.0349682655884579E-5</v>
      </c>
      <c r="BH130">
        <f t="shared" si="29"/>
        <v>9.9711984884184645E-5</v>
      </c>
      <c r="BJ130">
        <f t="shared" si="30"/>
        <v>6.1190675072845632E-2</v>
      </c>
      <c r="BL130" s="1">
        <f t="shared" si="31"/>
        <v>7.0427196431192551E-2</v>
      </c>
      <c r="BN130">
        <f t="shared" si="32"/>
        <v>8.1427720575435555E-2</v>
      </c>
      <c r="BP130">
        <v>7.7642991396779442</v>
      </c>
      <c r="BQ130" s="4">
        <v>77.989999999999981</v>
      </c>
      <c r="BR130">
        <v>9.35</v>
      </c>
      <c r="BT130" s="1">
        <v>2.3388E-7</v>
      </c>
      <c r="BV130" s="11">
        <f t="shared" si="33"/>
        <v>7.4999541515594892</v>
      </c>
    </row>
    <row r="131" spans="1:74" x14ac:dyDescent="0.25">
      <c r="A131" t="s">
        <v>131</v>
      </c>
      <c r="B131" t="s">
        <v>5</v>
      </c>
      <c r="C131" s="1">
        <v>3.0100000000000001E-3</v>
      </c>
      <c r="D131">
        <v>1.8067169119704393E-8</v>
      </c>
      <c r="F131" t="s">
        <v>131</v>
      </c>
      <c r="G131" t="s">
        <v>6</v>
      </c>
      <c r="H131" s="1">
        <v>2.31E-3</v>
      </c>
      <c r="I131">
        <v>1.3843110199662503E-8</v>
      </c>
      <c r="K131" t="s">
        <v>131</v>
      </c>
      <c r="L131" t="s">
        <v>7</v>
      </c>
      <c r="M131" s="1">
        <v>2.1900000000000001E-3</v>
      </c>
      <c r="N131">
        <v>1.3171316600856575E-8</v>
      </c>
      <c r="P131" t="s">
        <v>131</v>
      </c>
      <c r="Q131" t="s">
        <v>446</v>
      </c>
      <c r="R131">
        <v>9.6631268748785456E-9</v>
      </c>
      <c r="T131">
        <f t="shared" si="34"/>
        <v>4.2240589200418906E-9</v>
      </c>
      <c r="V131" s="1">
        <f t="shared" si="35"/>
        <v>4.8958525188478187E-9</v>
      </c>
      <c r="X131">
        <f t="shared" si="27"/>
        <v>8.4040422448258477E-9</v>
      </c>
      <c r="AA131" t="s">
        <v>348</v>
      </c>
      <c r="AB131" t="s">
        <v>224</v>
      </c>
      <c r="AC131">
        <v>350</v>
      </c>
      <c r="AD131" s="1">
        <v>1.4669587284819001E-4</v>
      </c>
      <c r="AE131" s="1">
        <v>1.0802993003639399E-7</v>
      </c>
      <c r="AF131" s="1">
        <v>3.38965800076096E-6</v>
      </c>
      <c r="AG131">
        <f t="shared" si="41"/>
        <v>1.4673506930015142E-4</v>
      </c>
      <c r="AI131" t="s">
        <v>348</v>
      </c>
      <c r="AJ131" t="s">
        <v>224</v>
      </c>
      <c r="AK131">
        <v>550</v>
      </c>
      <c r="AL131" s="1">
        <v>5.0018298076177003E-5</v>
      </c>
      <c r="AM131" s="1">
        <v>1.7937557025310099E-7</v>
      </c>
      <c r="AN131" s="1">
        <v>3.7831445062769699E-7</v>
      </c>
      <c r="AO131">
        <f t="shared" si="42"/>
        <v>5.0020050378383762E-5</v>
      </c>
      <c r="AQ131" t="s">
        <v>348</v>
      </c>
      <c r="AR131" t="s">
        <v>224</v>
      </c>
      <c r="AS131">
        <v>600</v>
      </c>
      <c r="AT131" s="1">
        <v>4.2923281333284403E-5</v>
      </c>
      <c r="AU131" s="1">
        <v>2.6137865014061102E-7</v>
      </c>
      <c r="AV131" s="1">
        <v>1.6457357002564101E-6</v>
      </c>
      <c r="AW131">
        <f t="shared" si="40"/>
        <v>4.2955614827518519E-5</v>
      </c>
      <c r="AY131" t="s">
        <v>348</v>
      </c>
      <c r="AZ131" t="s">
        <v>224</v>
      </c>
      <c r="BA131">
        <v>800</v>
      </c>
      <c r="BB131">
        <v>1.5807036828131825E-5</v>
      </c>
      <c r="BD131">
        <f t="shared" si="36"/>
        <v>9.6715018921767647E-5</v>
      </c>
      <c r="BF131">
        <f t="shared" si="37"/>
        <v>1.0377945447263289E-4</v>
      </c>
      <c r="BH131">
        <f t="shared" si="29"/>
        <v>1.3092803247201958E-4</v>
      </c>
      <c r="BJ131">
        <f t="shared" si="30"/>
        <v>4.3675315035183043E-2</v>
      </c>
      <c r="BL131" s="1">
        <f t="shared" si="31"/>
        <v>4.717554687222679E-2</v>
      </c>
      <c r="BN131">
        <f t="shared" si="32"/>
        <v>6.4188257366670984E-2</v>
      </c>
      <c r="BP131">
        <v>6.8428614566439876</v>
      </c>
      <c r="BQ131" s="3">
        <v>78.02</v>
      </c>
      <c r="BR131">
        <v>12.14</v>
      </c>
      <c r="BT131" s="1">
        <v>2.3375000000000001E-7</v>
      </c>
      <c r="BV131" s="11">
        <f t="shared" si="33"/>
        <v>6.3667794165059659</v>
      </c>
    </row>
    <row r="132" spans="1:74" x14ac:dyDescent="0.25">
      <c r="A132" t="s">
        <v>132</v>
      </c>
      <c r="B132" t="s">
        <v>5</v>
      </c>
      <c r="C132" s="1">
        <v>2.2100000000000002E-3</v>
      </c>
      <c r="D132">
        <v>1.324572100717813E-8</v>
      </c>
      <c r="F132" t="s">
        <v>132</v>
      </c>
      <c r="G132" t="s">
        <v>6</v>
      </c>
      <c r="H132" s="1">
        <v>1.6999999999999999E-3</v>
      </c>
      <c r="I132">
        <v>1.0200480380844816E-8</v>
      </c>
      <c r="K132" t="s">
        <v>132</v>
      </c>
      <c r="L132" t="s">
        <v>7</v>
      </c>
      <c r="M132" s="1">
        <v>1.7899999999999999E-3</v>
      </c>
      <c r="N132">
        <v>1.0739967411496181E-8</v>
      </c>
      <c r="P132" t="s">
        <v>132</v>
      </c>
      <c r="Q132" t="s">
        <v>446</v>
      </c>
      <c r="R132">
        <v>7.6806965829929783E-9</v>
      </c>
      <c r="T132">
        <f t="shared" si="34"/>
        <v>3.0452406263333137E-9</v>
      </c>
      <c r="V132" s="1">
        <f t="shared" si="35"/>
        <v>2.5057535956819487E-9</v>
      </c>
      <c r="X132">
        <f t="shared" si="27"/>
        <v>5.5650244241851515E-9</v>
      </c>
      <c r="AA132" t="s">
        <v>349</v>
      </c>
      <c r="AB132" t="s">
        <v>224</v>
      </c>
      <c r="AC132">
        <v>350</v>
      </c>
      <c r="AD132" s="1">
        <v>1.27757887583945E-4</v>
      </c>
      <c r="AE132" s="1">
        <v>1.5382731800281201E-6</v>
      </c>
      <c r="AF132" s="1">
        <v>3.5031400002031098E-6</v>
      </c>
      <c r="AG132">
        <f t="shared" si="41"/>
        <v>1.2781516386622263E-4</v>
      </c>
      <c r="AI132" t="s">
        <v>349</v>
      </c>
      <c r="AJ132" t="s">
        <v>224</v>
      </c>
      <c r="AK132">
        <v>550</v>
      </c>
      <c r="AL132" s="1">
        <v>4.5379139798593099E-5</v>
      </c>
      <c r="AM132" s="1">
        <v>1.85488796004797E-6</v>
      </c>
      <c r="AN132" s="1">
        <v>1.7399751007526899E-6</v>
      </c>
      <c r="AO132">
        <f t="shared" si="42"/>
        <v>4.5450351500905097E-5</v>
      </c>
      <c r="AQ132" t="s">
        <v>349</v>
      </c>
      <c r="AR132" t="s">
        <v>224</v>
      </c>
      <c r="AS132">
        <v>600</v>
      </c>
      <c r="AT132" s="1">
        <v>3.9541351348771E-5</v>
      </c>
      <c r="AU132" s="1">
        <v>5.4325807006286202E-7</v>
      </c>
      <c r="AV132" s="1">
        <v>1.53891460074993E-6</v>
      </c>
      <c r="AW132">
        <f t="shared" si="40"/>
        <v>3.9575015527047414E-5</v>
      </c>
      <c r="AY132" t="s">
        <v>349</v>
      </c>
      <c r="AZ132" t="s">
        <v>224</v>
      </c>
      <c r="BA132">
        <v>800</v>
      </c>
      <c r="BB132">
        <v>1.6286565935638809E-5</v>
      </c>
      <c r="BD132">
        <f t="shared" si="36"/>
        <v>8.2364812365317539E-5</v>
      </c>
      <c r="BF132">
        <f t="shared" si="37"/>
        <v>8.8240148339175208E-5</v>
      </c>
      <c r="BH132">
        <f t="shared" si="29"/>
        <v>1.1152859793058382E-4</v>
      </c>
      <c r="BJ132">
        <f t="shared" si="30"/>
        <v>3.697259228645574E-2</v>
      </c>
      <c r="BL132" s="1">
        <f t="shared" si="31"/>
        <v>2.8396978505185619E-2</v>
      </c>
      <c r="BN132">
        <f t="shared" si="32"/>
        <v>4.9897734997519309E-2</v>
      </c>
      <c r="BP132">
        <v>5.9615370636536165</v>
      </c>
      <c r="BQ132" s="4">
        <v>78.041428571428568</v>
      </c>
      <c r="BR132">
        <v>10.68</v>
      </c>
      <c r="BT132" s="1">
        <v>2.3635E-7</v>
      </c>
      <c r="BV132" s="11">
        <f t="shared" si="33"/>
        <v>5.2474552543314923</v>
      </c>
    </row>
    <row r="133" spans="1:74" x14ac:dyDescent="0.25">
      <c r="A133" t="s">
        <v>133</v>
      </c>
      <c r="B133" t="s">
        <v>5</v>
      </c>
      <c r="C133" s="1">
        <v>2.7100000000000002E-3</v>
      </c>
      <c r="D133">
        <v>1.6244168184305406E-8</v>
      </c>
      <c r="F133" t="s">
        <v>133</v>
      </c>
      <c r="G133" t="s">
        <v>6</v>
      </c>
      <c r="H133" s="1">
        <v>2.0300000000000001E-3</v>
      </c>
      <c r="I133">
        <v>1.2178099194866168E-8</v>
      </c>
      <c r="K133" t="s">
        <v>133</v>
      </c>
      <c r="L133" t="s">
        <v>7</v>
      </c>
      <c r="M133" s="1">
        <v>2.0600000000000002E-3</v>
      </c>
      <c r="N133">
        <v>1.2394151846738041E-8</v>
      </c>
      <c r="P133" t="s">
        <v>133</v>
      </c>
      <c r="Q133" t="s">
        <v>446</v>
      </c>
      <c r="R133">
        <v>8.8238688226876994E-9</v>
      </c>
      <c r="T133">
        <f t="shared" si="34"/>
        <v>4.0660689894392382E-9</v>
      </c>
      <c r="V133" s="1">
        <f t="shared" si="35"/>
        <v>3.8500163375673654E-9</v>
      </c>
      <c r="X133">
        <f t="shared" si="27"/>
        <v>7.4202993616177069E-9</v>
      </c>
      <c r="AA133" t="s">
        <v>350</v>
      </c>
      <c r="AB133" t="s">
        <v>224</v>
      </c>
      <c r="AC133">
        <v>350</v>
      </c>
      <c r="AD133" s="1">
        <v>1.28535363074263E-4</v>
      </c>
      <c r="AE133" s="1">
        <v>1.5609202400512799E-6</v>
      </c>
      <c r="AF133" s="1">
        <v>3.12013825072144E-6</v>
      </c>
      <c r="AG133">
        <f t="shared" si="41"/>
        <v>1.2858270216219609E-4</v>
      </c>
      <c r="AI133" t="s">
        <v>350</v>
      </c>
      <c r="AJ133" t="s">
        <v>224</v>
      </c>
      <c r="AK133">
        <v>550</v>
      </c>
      <c r="AL133" s="1">
        <v>4.5879722584073203E-5</v>
      </c>
      <c r="AM133" s="1">
        <v>1.7084961800446699E-6</v>
      </c>
      <c r="AN133" s="1">
        <v>2.0219532001608299E-6</v>
      </c>
      <c r="AO133">
        <f t="shared" si="42"/>
        <v>4.5956024614106745E-5</v>
      </c>
      <c r="AQ133" t="s">
        <v>350</v>
      </c>
      <c r="AR133" t="s">
        <v>224</v>
      </c>
      <c r="AS133">
        <v>600</v>
      </c>
      <c r="AT133" s="1">
        <v>3.6173794506625699E-5</v>
      </c>
      <c r="AU133" s="1">
        <v>1.0738357599321801E-6</v>
      </c>
      <c r="AV133" s="1">
        <v>3.0853535502913302E-6</v>
      </c>
      <c r="AW133">
        <f t="shared" si="40"/>
        <v>3.6321012358925075E-5</v>
      </c>
      <c r="AY133" t="s">
        <v>350</v>
      </c>
      <c r="AZ133" t="s">
        <v>224</v>
      </c>
      <c r="BA133">
        <v>800</v>
      </c>
      <c r="BB133">
        <v>1.6582250703233047E-5</v>
      </c>
      <c r="BD133">
        <f t="shared" si="36"/>
        <v>8.2626677548089335E-5</v>
      </c>
      <c r="BF133">
        <f t="shared" si="37"/>
        <v>9.2261689803271012E-5</v>
      </c>
      <c r="BH133">
        <f t="shared" si="29"/>
        <v>1.1200045145896304E-4</v>
      </c>
      <c r="BJ133">
        <f t="shared" si="30"/>
        <v>4.9210123293082386E-2</v>
      </c>
      <c r="BL133" s="1">
        <f t="shared" si="31"/>
        <v>4.1729306560249757E-2</v>
      </c>
      <c r="BN133">
        <f t="shared" si="32"/>
        <v>6.6252405815850693E-2</v>
      </c>
      <c r="BP133">
        <v>6.9386985337812943</v>
      </c>
      <c r="BQ133" s="4">
        <v>78.062857142857141</v>
      </c>
      <c r="BR133">
        <v>10.68</v>
      </c>
      <c r="BT133" s="1">
        <v>2.3853000000000001E-7</v>
      </c>
      <c r="BV133" s="11">
        <f t="shared" si="33"/>
        <v>6.3765125156821982</v>
      </c>
    </row>
    <row r="134" spans="1:74" x14ac:dyDescent="0.25">
      <c r="A134" t="s">
        <v>134</v>
      </c>
      <c r="B134" t="s">
        <v>5</v>
      </c>
      <c r="C134" s="1">
        <v>2.5300000000000001E-3</v>
      </c>
      <c r="D134">
        <v>1.5204242828894835E-8</v>
      </c>
      <c r="F134" t="s">
        <v>134</v>
      </c>
      <c r="G134" t="s">
        <v>6</v>
      </c>
      <c r="H134" s="1">
        <v>1.83E-3</v>
      </c>
      <c r="I134">
        <v>1.0980136611172012E-8</v>
      </c>
      <c r="K134" t="s">
        <v>134</v>
      </c>
      <c r="L134" t="s">
        <v>7</v>
      </c>
      <c r="M134" s="1">
        <v>1.5200000000000001E-3</v>
      </c>
      <c r="N134">
        <v>9.1134351372026565E-9</v>
      </c>
      <c r="P134" t="s">
        <v>134</v>
      </c>
      <c r="Q134" t="s">
        <v>446</v>
      </c>
      <c r="R134">
        <v>7.9163185888391334E-9</v>
      </c>
      <c r="T134">
        <f t="shared" si="34"/>
        <v>4.2241062177228221E-9</v>
      </c>
      <c r="V134" s="1">
        <f t="shared" si="35"/>
        <v>6.0908076916921781E-9</v>
      </c>
      <c r="X134">
        <f t="shared" si="27"/>
        <v>7.2879242400557012E-9</v>
      </c>
      <c r="AA134" t="s">
        <v>351</v>
      </c>
      <c r="AB134" t="s">
        <v>224</v>
      </c>
      <c r="AC134">
        <v>350</v>
      </c>
      <c r="AD134" s="1">
        <v>1.18471477857857E-4</v>
      </c>
      <c r="AE134" s="1">
        <v>1.4532110199222501E-6</v>
      </c>
      <c r="AF134" s="1">
        <v>4.2563151002086203E-6</v>
      </c>
      <c r="AG134">
        <f t="shared" si="41"/>
        <v>1.1855681805077847E-4</v>
      </c>
      <c r="AI134" t="s">
        <v>351</v>
      </c>
      <c r="AJ134" t="s">
        <v>224</v>
      </c>
      <c r="AK134">
        <v>550</v>
      </c>
      <c r="AL134" s="1">
        <v>4.3037514500370403E-5</v>
      </c>
      <c r="AM134" s="1">
        <v>1.11885851008106E-6</v>
      </c>
      <c r="AN134" s="1">
        <v>3.27346230062954E-6</v>
      </c>
      <c r="AO134">
        <f t="shared" si="42"/>
        <v>4.3176325158225501E-5</v>
      </c>
      <c r="AQ134" t="s">
        <v>351</v>
      </c>
      <c r="AR134" t="s">
        <v>224</v>
      </c>
      <c r="AS134">
        <v>600</v>
      </c>
      <c r="AT134" s="1">
        <v>3.5588565075775701E-5</v>
      </c>
      <c r="AU134" s="1">
        <v>3.7671090043010602E-8</v>
      </c>
      <c r="AV134" s="1">
        <v>2.98926390061575E-6</v>
      </c>
      <c r="AW134">
        <f t="shared" si="40"/>
        <v>3.5713906002162116E-5</v>
      </c>
      <c r="AY134" t="s">
        <v>351</v>
      </c>
      <c r="AZ134" t="s">
        <v>224</v>
      </c>
      <c r="BA134">
        <v>800</v>
      </c>
      <c r="BB134">
        <v>1.6692888253148117E-5</v>
      </c>
      <c r="BD134">
        <f t="shared" si="36"/>
        <v>7.5380492892552971E-5</v>
      </c>
      <c r="BF134">
        <f t="shared" si="37"/>
        <v>8.2842912048616349E-5</v>
      </c>
      <c r="BH134">
        <f t="shared" si="29"/>
        <v>1.0186392979763035E-4</v>
      </c>
      <c r="BJ134">
        <f t="shared" si="30"/>
        <v>5.6037126524813852E-2</v>
      </c>
      <c r="BL134" s="1">
        <f t="shared" si="31"/>
        <v>7.3522375554806521E-2</v>
      </c>
      <c r="BN134">
        <f t="shared" si="32"/>
        <v>7.1545681131038E-2</v>
      </c>
      <c r="BP134">
        <v>6.6435376963148745</v>
      </c>
      <c r="BQ134" s="4">
        <v>78.084285714285713</v>
      </c>
      <c r="BR134">
        <v>9.51</v>
      </c>
      <c r="BT134" s="1">
        <v>2.4237999999999998E-7</v>
      </c>
      <c r="BV134" s="11">
        <f t="shared" si="33"/>
        <v>6.5961040696647641</v>
      </c>
    </row>
    <row r="135" spans="1:74" x14ac:dyDescent="0.25">
      <c r="A135" t="s">
        <v>135</v>
      </c>
      <c r="B135" t="s">
        <v>5</v>
      </c>
      <c r="C135" s="1">
        <v>4.4099999999999999E-3</v>
      </c>
      <c r="D135">
        <v>2.6432217735937331E-8</v>
      </c>
      <c r="F135" t="s">
        <v>135</v>
      </c>
      <c r="G135" t="s">
        <v>6</v>
      </c>
      <c r="H135" s="1">
        <v>3.3E-3</v>
      </c>
      <c r="I135">
        <v>1.9796699623927217E-8</v>
      </c>
      <c r="K135" t="s">
        <v>135</v>
      </c>
      <c r="L135" t="s">
        <v>7</v>
      </c>
      <c r="M135" s="1">
        <v>3.0999999999999999E-3</v>
      </c>
      <c r="N135">
        <v>1.8607353029380617E-8</v>
      </c>
      <c r="P135" t="s">
        <v>135</v>
      </c>
      <c r="Q135" t="s">
        <v>446</v>
      </c>
      <c r="R135">
        <v>1.2998886144589467E-8</v>
      </c>
      <c r="T135">
        <f t="shared" si="34"/>
        <v>6.6355181120101141E-9</v>
      </c>
      <c r="V135" s="1">
        <f t="shared" si="35"/>
        <v>7.8248647065567138E-9</v>
      </c>
      <c r="X135">
        <f t="shared" ref="X135:X198" si="43">D135-R135</f>
        <v>1.3433331591347865E-8</v>
      </c>
      <c r="AA135" t="s">
        <v>352</v>
      </c>
      <c r="AB135" t="s">
        <v>224</v>
      </c>
      <c r="AC135">
        <v>350</v>
      </c>
      <c r="AD135" s="1">
        <v>1.26890856450833E-4</v>
      </c>
      <c r="AE135" s="1">
        <v>3.9425127000496301E-6</v>
      </c>
      <c r="AF135" s="1">
        <v>2.88824025063229E-6</v>
      </c>
      <c r="AG135">
        <f t="shared" si="41"/>
        <v>1.2698493922100104E-4</v>
      </c>
      <c r="AI135" t="s">
        <v>352</v>
      </c>
      <c r="AJ135" t="s">
        <v>224</v>
      </c>
      <c r="AK135">
        <v>550</v>
      </c>
      <c r="AL135" s="1">
        <v>4.65381001623076E-5</v>
      </c>
      <c r="AM135" s="1">
        <v>3.6996118800198498E-6</v>
      </c>
      <c r="AN135" s="1">
        <v>2.0873287000055102E-6</v>
      </c>
      <c r="AO135">
        <f t="shared" si="42"/>
        <v>4.6731561453493347E-5</v>
      </c>
      <c r="AQ135" t="s">
        <v>352</v>
      </c>
      <c r="AR135" t="s">
        <v>224</v>
      </c>
      <c r="AS135">
        <v>600</v>
      </c>
      <c r="AT135" s="1">
        <v>3.9315184711392197E-5</v>
      </c>
      <c r="AU135" s="1">
        <v>3.3023755400512799E-6</v>
      </c>
      <c r="AV135" s="1">
        <v>1.506966950034E-6</v>
      </c>
      <c r="AW135">
        <f t="shared" ref="AW135" si="44">SQRT(AT135^2+AU135^2+AV135^2)</f>
        <v>3.9482405986551918E-5</v>
      </c>
      <c r="AY135" t="s">
        <v>352</v>
      </c>
      <c r="AZ135" t="s">
        <v>224</v>
      </c>
      <c r="BA135">
        <v>800</v>
      </c>
      <c r="BB135">
        <v>1.6157938744194739E-5</v>
      </c>
      <c r="BD135">
        <f t="shared" si="36"/>
        <v>8.0253377767507697E-5</v>
      </c>
      <c r="BF135">
        <f t="shared" si="37"/>
        <v>8.7502533234449126E-5</v>
      </c>
      <c r="BH135">
        <f t="shared" ref="BH135:BH198" si="45">AG135-BB135</f>
        <v>1.108270004768063E-4</v>
      </c>
      <c r="BJ135">
        <f t="shared" ref="BJ135:BJ198" si="46">T135*1000/BD135</f>
        <v>8.2682103814160537E-2</v>
      </c>
      <c r="BL135" s="1">
        <f t="shared" ref="BL135:BL198" si="47">V135*1000/BF135</f>
        <v>8.9424436268504742E-2</v>
      </c>
      <c r="BN135">
        <f t="shared" ref="BN135:BN198" si="48">X135*1000/BH135</f>
        <v>0.12120991756119188</v>
      </c>
      <c r="BP135">
        <v>12.137567445075113</v>
      </c>
      <c r="BQ135" s="6">
        <v>78.105714285714285</v>
      </c>
      <c r="BR135">
        <v>9.94</v>
      </c>
      <c r="BT135" s="1">
        <v>2.3948999999999998E-7</v>
      </c>
      <c r="BV135" s="11">
        <f t="shared" ref="BV135:BV198" si="49">D135*1000/BR135/BT135</f>
        <v>11.103498411630303</v>
      </c>
    </row>
    <row r="136" spans="1:74" x14ac:dyDescent="0.25">
      <c r="A136" t="s">
        <v>136</v>
      </c>
      <c r="B136" t="s">
        <v>5</v>
      </c>
      <c r="C136" s="1">
        <v>2.3500000000000001E-3</v>
      </c>
      <c r="D136">
        <v>1.4138772931198803E-8</v>
      </c>
      <c r="F136" t="s">
        <v>136</v>
      </c>
      <c r="G136" t="s">
        <v>6</v>
      </c>
      <c r="H136" s="1">
        <v>1.75E-3</v>
      </c>
      <c r="I136">
        <v>1.0497280600231663E-8</v>
      </c>
      <c r="K136" t="s">
        <v>136</v>
      </c>
      <c r="L136" t="s">
        <v>7</v>
      </c>
      <c r="M136" s="1">
        <v>1.5E-3</v>
      </c>
      <c r="N136">
        <v>9.0026509429167581E-9</v>
      </c>
      <c r="P136" t="s">
        <v>136</v>
      </c>
      <c r="Q136" t="s">
        <v>446</v>
      </c>
      <c r="R136">
        <v>6.5970597359732919E-9</v>
      </c>
      <c r="T136">
        <f t="shared" ref="T136:T199" si="50">D136-I136</f>
        <v>3.6414923309671398E-9</v>
      </c>
      <c r="V136" s="1">
        <f t="shared" ref="V136:V199" si="51">D136-N136</f>
        <v>5.1361219882820449E-9</v>
      </c>
      <c r="X136">
        <f t="shared" si="43"/>
        <v>7.5417131952255104E-9</v>
      </c>
      <c r="AA136" t="s">
        <v>353</v>
      </c>
      <c r="AB136" t="s">
        <v>224</v>
      </c>
      <c r="AC136">
        <v>350</v>
      </c>
      <c r="AD136" s="1">
        <v>1.19854658961129E-4</v>
      </c>
      <c r="AE136" s="1">
        <v>1.21383801004797E-6</v>
      </c>
      <c r="AF136" s="1">
        <v>3.1559097500468699E-6</v>
      </c>
      <c r="AG136">
        <f t="shared" si="41"/>
        <v>1.1990234544725811E-4</v>
      </c>
      <c r="AI136" t="s">
        <v>353</v>
      </c>
      <c r="AJ136" t="s">
        <v>224</v>
      </c>
      <c r="AK136">
        <v>550</v>
      </c>
      <c r="AL136" s="1">
        <v>4.2121703199720003E-5</v>
      </c>
      <c r="AM136" s="1">
        <v>7.7779576003143103E-7</v>
      </c>
      <c r="AN136" s="1">
        <v>1.26039030066997E-6</v>
      </c>
      <c r="AO136">
        <f t="shared" si="42"/>
        <v>4.2147733395755084E-5</v>
      </c>
      <c r="AQ136" t="s">
        <v>353</v>
      </c>
      <c r="AR136" t="s">
        <v>224</v>
      </c>
      <c r="AS136">
        <v>600</v>
      </c>
      <c r="AT136" s="1">
        <v>3.5125485099949298E-5</v>
      </c>
      <c r="AU136" s="1">
        <v>1.42493920006617E-6</v>
      </c>
      <c r="AV136" s="1">
        <v>5.7259070066170105E-7</v>
      </c>
      <c r="AW136">
        <f t="shared" ref="AW136:AW199" si="52">SQRT(AT136^2+AU136^2+AV136^2)</f>
        <v>3.5159038885343974E-5</v>
      </c>
      <c r="AY136" t="s">
        <v>353</v>
      </c>
      <c r="AZ136" t="s">
        <v>224</v>
      </c>
      <c r="BA136">
        <v>800</v>
      </c>
      <c r="BB136">
        <v>1.3887315583665624E-5</v>
      </c>
      <c r="BD136">
        <f t="shared" ref="BD136:BD199" si="53">AG136-AO136</f>
        <v>7.7754612051503027E-5</v>
      </c>
      <c r="BF136">
        <f t="shared" ref="BF136:BF199" si="54">AG136-AW136</f>
        <v>8.4743306561914144E-5</v>
      </c>
      <c r="BH136">
        <f t="shared" si="45"/>
        <v>1.0601502986359248E-4</v>
      </c>
      <c r="BJ136">
        <f t="shared" si="46"/>
        <v>4.6833136130305576E-2</v>
      </c>
      <c r="BL136" s="1">
        <f t="shared" si="47"/>
        <v>6.0607996037180263E-2</v>
      </c>
      <c r="BN136">
        <f t="shared" si="48"/>
        <v>7.1138150929441687E-2</v>
      </c>
      <c r="BP136">
        <v>6.3312350650849405</v>
      </c>
      <c r="BQ136" s="4">
        <v>78.127142857142857</v>
      </c>
      <c r="BR136">
        <v>9.8000000000000007</v>
      </c>
      <c r="BT136" s="1">
        <v>2.2884E-7</v>
      </c>
      <c r="BV136" s="11">
        <f t="shared" si="49"/>
        <v>6.3045443618029182</v>
      </c>
    </row>
    <row r="137" spans="1:74" x14ac:dyDescent="0.25">
      <c r="A137" t="s">
        <v>137</v>
      </c>
      <c r="B137" t="s">
        <v>5</v>
      </c>
      <c r="C137" s="1">
        <v>7.0899999999999999E-4</v>
      </c>
      <c r="D137">
        <v>5.6740704965659351E-9</v>
      </c>
      <c r="F137" t="s">
        <v>137</v>
      </c>
      <c r="G137" t="s">
        <v>6</v>
      </c>
      <c r="H137" s="1">
        <v>5.6899999999999995E-4</v>
      </c>
      <c r="I137">
        <v>4.5498748334432232E-9</v>
      </c>
      <c r="K137" t="s">
        <v>137</v>
      </c>
      <c r="L137" t="s">
        <v>7</v>
      </c>
      <c r="M137" s="1">
        <v>5.0299999999999997E-4</v>
      </c>
      <c r="N137">
        <v>4.0265866437964548E-9</v>
      </c>
      <c r="P137" t="s">
        <v>137</v>
      </c>
      <c r="Q137" t="s">
        <v>446</v>
      </c>
      <c r="R137">
        <v>2.2403895397899002E-9</v>
      </c>
      <c r="T137">
        <f t="shared" si="50"/>
        <v>1.1241956631227119E-9</v>
      </c>
      <c r="V137" s="1">
        <f t="shared" si="51"/>
        <v>1.6474838527694803E-9</v>
      </c>
      <c r="X137">
        <f t="shared" si="43"/>
        <v>3.4336809567760348E-9</v>
      </c>
      <c r="AA137" t="s">
        <v>354</v>
      </c>
      <c r="AB137" t="s">
        <v>224</v>
      </c>
      <c r="AC137">
        <v>350</v>
      </c>
      <c r="AD137" s="1">
        <v>1.43206608800274E-4</v>
      </c>
      <c r="AE137" s="1">
        <v>-7.3072539960297998E-8</v>
      </c>
      <c r="AF137" s="1">
        <v>3.3551200006396399E-6</v>
      </c>
      <c r="AG137">
        <f t="shared" si="41"/>
        <v>1.4324592480726811E-4</v>
      </c>
      <c r="AI137" t="s">
        <v>354</v>
      </c>
      <c r="AJ137" t="s">
        <v>224</v>
      </c>
      <c r="AK137">
        <v>550</v>
      </c>
      <c r="AL137" s="1">
        <v>5.1621100526066298E-5</v>
      </c>
      <c r="AM137" s="1">
        <v>4.9216650006616995E-7</v>
      </c>
      <c r="AN137" s="1">
        <v>8.3569625061023499E-7</v>
      </c>
      <c r="AO137">
        <f t="shared" si="42"/>
        <v>5.1630210493560006E-5</v>
      </c>
      <c r="AQ137" t="s">
        <v>354</v>
      </c>
      <c r="AR137" t="s">
        <v>224</v>
      </c>
      <c r="AS137">
        <v>600</v>
      </c>
      <c r="AT137" s="1">
        <v>4.2757968276153299E-5</v>
      </c>
      <c r="AU137" s="1">
        <v>-4.36486309948718E-7</v>
      </c>
      <c r="AV137" s="1">
        <v>1.65363010061115E-6</v>
      </c>
      <c r="AW137">
        <f t="shared" si="52"/>
        <v>4.2792158906894987E-5</v>
      </c>
      <c r="AY137" t="s">
        <v>354</v>
      </c>
      <c r="AZ137" t="s">
        <v>224</v>
      </c>
      <c r="BA137">
        <v>800</v>
      </c>
      <c r="BB137">
        <v>1.7709874658084468E-5</v>
      </c>
      <c r="BD137">
        <f t="shared" si="53"/>
        <v>9.1615714313708101E-5</v>
      </c>
      <c r="BF137">
        <f t="shared" si="54"/>
        <v>1.0045376590037312E-4</v>
      </c>
      <c r="BH137">
        <f t="shared" si="45"/>
        <v>1.2553605014918365E-4</v>
      </c>
      <c r="BJ137">
        <f t="shared" si="46"/>
        <v>1.2270773322503068E-2</v>
      </c>
      <c r="BL137" s="1">
        <f t="shared" si="47"/>
        <v>1.640041901866977E-2</v>
      </c>
      <c r="BN137">
        <f t="shared" si="48"/>
        <v>2.7352150658679648E-2</v>
      </c>
      <c r="BP137">
        <v>2.3806143094204293</v>
      </c>
      <c r="BQ137" s="4">
        <v>78.148571428571429</v>
      </c>
      <c r="BR137">
        <v>11.42</v>
      </c>
      <c r="BT137" s="1">
        <v>2.2936000000000001E-7</v>
      </c>
      <c r="BV137" s="11">
        <f t="shared" si="49"/>
        <v>2.1662618102813216</v>
      </c>
    </row>
    <row r="138" spans="1:74" x14ac:dyDescent="0.25">
      <c r="A138" t="s">
        <v>138</v>
      </c>
      <c r="B138" t="s">
        <v>5</v>
      </c>
      <c r="C138" s="1">
        <v>3.0400000000000002E-3</v>
      </c>
      <c r="D138">
        <v>1.8275394086038199E-8</v>
      </c>
      <c r="F138" t="s">
        <v>138</v>
      </c>
      <c r="G138" t="s">
        <v>6</v>
      </c>
      <c r="H138" s="1">
        <v>2.3900000000000002E-3</v>
      </c>
      <c r="I138">
        <v>1.4330949026495071E-8</v>
      </c>
      <c r="K138" t="s">
        <v>138</v>
      </c>
      <c r="L138" t="s">
        <v>7</v>
      </c>
      <c r="M138" s="1">
        <v>2.2799999999999999E-3</v>
      </c>
      <c r="N138">
        <v>1.3652530900898925E-8</v>
      </c>
      <c r="P138" t="s">
        <v>138</v>
      </c>
      <c r="Q138" t="s">
        <v>446</v>
      </c>
      <c r="R138">
        <v>1.0202948789443178E-8</v>
      </c>
      <c r="T138">
        <f t="shared" si="50"/>
        <v>3.9444450595431273E-9</v>
      </c>
      <c r="V138" s="1">
        <f t="shared" si="51"/>
        <v>4.622863185139274E-9</v>
      </c>
      <c r="X138">
        <f t="shared" si="43"/>
        <v>8.0724452965950209E-9</v>
      </c>
      <c r="AA138" t="s">
        <v>355</v>
      </c>
      <c r="AB138" t="s">
        <v>224</v>
      </c>
      <c r="AC138">
        <v>350</v>
      </c>
      <c r="AD138" s="1">
        <v>1.31018375700705E-4</v>
      </c>
      <c r="AE138" s="1">
        <v>1.3388409000827099E-6</v>
      </c>
      <c r="AF138" s="1">
        <v>2.6548620506322902E-6</v>
      </c>
      <c r="AG138">
        <f t="shared" si="41"/>
        <v>1.3105211008875326E-4</v>
      </c>
      <c r="AI138" t="s">
        <v>355</v>
      </c>
      <c r="AJ138" t="s">
        <v>224</v>
      </c>
      <c r="AK138">
        <v>550</v>
      </c>
      <c r="AL138" s="1">
        <v>4.8876806601827401E-5</v>
      </c>
      <c r="AM138" s="1">
        <v>2.5247524701124899E-6</v>
      </c>
      <c r="AN138" s="1">
        <v>1.6151449005955301E-6</v>
      </c>
      <c r="AO138">
        <f t="shared" si="42"/>
        <v>4.8968615374316001E-5</v>
      </c>
      <c r="AQ138" t="s">
        <v>355</v>
      </c>
      <c r="AR138" t="s">
        <v>224</v>
      </c>
      <c r="AS138">
        <v>600</v>
      </c>
      <c r="AT138" s="1">
        <v>3.9768800534644599E-5</v>
      </c>
      <c r="AU138" s="1">
        <v>2.3946428901505401E-6</v>
      </c>
      <c r="AV138" s="1">
        <v>9.6903760016634391E-7</v>
      </c>
      <c r="AW138">
        <f t="shared" si="52"/>
        <v>3.9852614022247439E-5</v>
      </c>
      <c r="AY138" t="s">
        <v>355</v>
      </c>
      <c r="AZ138" t="s">
        <v>224</v>
      </c>
      <c r="BA138">
        <v>800</v>
      </c>
      <c r="BB138">
        <v>1.5904162406130301E-5</v>
      </c>
      <c r="BD138">
        <f t="shared" si="53"/>
        <v>8.2083494714437269E-5</v>
      </c>
      <c r="BF138">
        <f t="shared" si="54"/>
        <v>9.1199496066505831E-5</v>
      </c>
      <c r="BH138">
        <f t="shared" si="45"/>
        <v>1.1514794768262296E-4</v>
      </c>
      <c r="BJ138">
        <f t="shared" si="46"/>
        <v>4.8054058532297828E-2</v>
      </c>
      <c r="BL138" s="1">
        <f t="shared" si="47"/>
        <v>5.0689569400341007E-2</v>
      </c>
      <c r="BN138">
        <f t="shared" si="48"/>
        <v>7.0104986315906684E-2</v>
      </c>
      <c r="BP138">
        <v>8.0232687380609153</v>
      </c>
      <c r="BQ138" s="3">
        <v>78.180000000000007</v>
      </c>
      <c r="BR138">
        <v>10.17</v>
      </c>
      <c r="BT138" s="1">
        <v>2.4011E-7</v>
      </c>
      <c r="BV138" s="11">
        <f t="shared" si="49"/>
        <v>7.4840305232267559</v>
      </c>
    </row>
    <row r="139" spans="1:74" x14ac:dyDescent="0.25">
      <c r="A139" t="s">
        <v>139</v>
      </c>
      <c r="B139" t="s">
        <v>5</v>
      </c>
      <c r="C139" s="1">
        <v>2.65E-3</v>
      </c>
      <c r="D139">
        <v>1.5913303271162777E-8</v>
      </c>
      <c r="F139" t="s">
        <v>139</v>
      </c>
      <c r="G139" t="s">
        <v>6</v>
      </c>
      <c r="H139" s="1">
        <v>1.32E-3</v>
      </c>
      <c r="I139">
        <v>7.9218824940792946E-9</v>
      </c>
      <c r="K139" t="s">
        <v>139</v>
      </c>
      <c r="L139" t="s">
        <v>7</v>
      </c>
      <c r="M139" s="1">
        <v>1.3600000000000001E-3</v>
      </c>
      <c r="N139">
        <v>8.160075734942661E-9</v>
      </c>
      <c r="P139" t="s">
        <v>139</v>
      </c>
      <c r="Q139" t="s">
        <v>446</v>
      </c>
      <c r="R139">
        <v>6.5376161557558581E-9</v>
      </c>
      <c r="T139">
        <f t="shared" si="50"/>
        <v>7.9914207770834826E-9</v>
      </c>
      <c r="V139" s="1">
        <f t="shared" si="51"/>
        <v>7.7532275362201162E-9</v>
      </c>
      <c r="X139">
        <f t="shared" si="43"/>
        <v>9.3756871154069191E-9</v>
      </c>
      <c r="AA139" t="s">
        <v>356</v>
      </c>
      <c r="AB139" t="s">
        <v>224</v>
      </c>
      <c r="AC139">
        <v>350</v>
      </c>
      <c r="AD139" s="1">
        <v>1.34078215000388E-4</v>
      </c>
      <c r="AE139" s="1">
        <v>1.2145287700794E-6</v>
      </c>
      <c r="AF139" s="1">
        <v>5.1847705506506704E-6</v>
      </c>
      <c r="AG139">
        <f t="shared" si="41"/>
        <v>1.3418392103186773E-4</v>
      </c>
      <c r="AI139" t="s">
        <v>356</v>
      </c>
      <c r="AJ139" t="s">
        <v>224</v>
      </c>
      <c r="AK139">
        <v>550</v>
      </c>
      <c r="AL139" s="1">
        <v>4.9213093502096302E-5</v>
      </c>
      <c r="AM139" s="1">
        <v>2.16997320019851E-6</v>
      </c>
      <c r="AN139" s="1">
        <v>4.7014852505495798E-6</v>
      </c>
      <c r="AO139">
        <f t="shared" si="42"/>
        <v>4.9484758454465434E-5</v>
      </c>
      <c r="AQ139" t="s">
        <v>356</v>
      </c>
      <c r="AR139" t="s">
        <v>224</v>
      </c>
      <c r="AS139">
        <v>600</v>
      </c>
      <c r="AT139" s="1">
        <v>4.0455614784411298E-5</v>
      </c>
      <c r="AU139" s="1">
        <v>1.24016090013234E-6</v>
      </c>
      <c r="AV139" s="1">
        <v>3.05833990017645E-6</v>
      </c>
      <c r="AW139">
        <f t="shared" si="52"/>
        <v>4.0590001349937234E-5</v>
      </c>
      <c r="AY139" t="s">
        <v>356</v>
      </c>
      <c r="AZ139" t="s">
        <v>224</v>
      </c>
      <c r="BA139">
        <v>800</v>
      </c>
      <c r="BB139">
        <v>1.8314706346300275E-5</v>
      </c>
      <c r="BD139">
        <f t="shared" si="53"/>
        <v>8.4699162577402289E-5</v>
      </c>
      <c r="BF139">
        <f t="shared" si="54"/>
        <v>9.3593919681930488E-5</v>
      </c>
      <c r="BH139">
        <f t="shared" si="45"/>
        <v>1.1586921468556746E-4</v>
      </c>
      <c r="BJ139">
        <f t="shared" si="46"/>
        <v>9.4350646852978351E-2</v>
      </c>
      <c r="BL139" s="1">
        <f t="shared" si="47"/>
        <v>8.2839008800664388E-2</v>
      </c>
      <c r="BN139">
        <f t="shared" si="48"/>
        <v>8.0916118581191562E-2</v>
      </c>
      <c r="BP139">
        <v>7.6892960600425138</v>
      </c>
      <c r="BQ139" s="4">
        <v>78.2</v>
      </c>
      <c r="BR139">
        <v>10.130000000000001</v>
      </c>
      <c r="BT139" s="1">
        <v>2.4293000000000002E-7</v>
      </c>
      <c r="BV139" s="11">
        <f t="shared" si="49"/>
        <v>6.4665068801837489</v>
      </c>
    </row>
    <row r="140" spans="1:74" x14ac:dyDescent="0.25">
      <c r="A140" t="s">
        <v>140</v>
      </c>
      <c r="B140" t="s">
        <v>5</v>
      </c>
      <c r="C140" s="1">
        <v>3.7000000000000002E-3</v>
      </c>
      <c r="D140">
        <v>2.2248145990171856E-8</v>
      </c>
      <c r="F140" t="s">
        <v>140</v>
      </c>
      <c r="G140" t="s">
        <v>6</v>
      </c>
      <c r="H140" s="1">
        <v>2.2599999999999999E-3</v>
      </c>
      <c r="I140">
        <v>1.3562414091893818E-8</v>
      </c>
      <c r="K140" t="s">
        <v>140</v>
      </c>
      <c r="L140" t="s">
        <v>7</v>
      </c>
      <c r="M140" s="1">
        <v>2.0500000000000002E-3</v>
      </c>
      <c r="N140">
        <v>1.2294687836622775E-8</v>
      </c>
      <c r="P140" t="s">
        <v>140</v>
      </c>
      <c r="Q140" t="s">
        <v>446</v>
      </c>
      <c r="R140">
        <v>9.1788079836109438E-9</v>
      </c>
      <c r="T140">
        <f t="shared" si="50"/>
        <v>8.685731898278038E-9</v>
      </c>
      <c r="V140" s="1">
        <f t="shared" si="51"/>
        <v>9.9534581535490808E-9</v>
      </c>
      <c r="X140">
        <f t="shared" si="43"/>
        <v>1.3069338006560912E-8</v>
      </c>
      <c r="AA140" t="s">
        <v>357</v>
      </c>
      <c r="AB140" t="s">
        <v>224</v>
      </c>
      <c r="AC140">
        <v>350</v>
      </c>
      <c r="AD140" s="1">
        <v>1.4863942892510301E-4</v>
      </c>
      <c r="AE140" s="1">
        <v>1.54138160072787E-7</v>
      </c>
      <c r="AF140" s="1">
        <v>3.2733389506819201E-6</v>
      </c>
      <c r="AG140">
        <f t="shared" si="41"/>
        <v>1.4867554720813774E-4</v>
      </c>
      <c r="AI140" t="s">
        <v>357</v>
      </c>
      <c r="AJ140" t="s">
        <v>224</v>
      </c>
      <c r="AK140">
        <v>550</v>
      </c>
      <c r="AL140" s="1">
        <v>5.3970376750491E-5</v>
      </c>
      <c r="AM140" s="1">
        <v>7.7192430002481396E-7</v>
      </c>
      <c r="AN140" s="1">
        <v>2.0699363506607799E-6</v>
      </c>
      <c r="AO140">
        <f t="shared" si="42"/>
        <v>5.4015572478783336E-5</v>
      </c>
      <c r="AQ140" t="s">
        <v>357</v>
      </c>
      <c r="AR140" t="s">
        <v>224</v>
      </c>
      <c r="AS140">
        <v>600</v>
      </c>
      <c r="AT140" s="1">
        <v>4.5508630600465297E-5</v>
      </c>
      <c r="AU140" s="1">
        <v>2.0849357100727901E-6</v>
      </c>
      <c r="AV140" s="1">
        <v>1.92537015062678E-6</v>
      </c>
      <c r="AW140">
        <f t="shared" si="52"/>
        <v>4.559703352479926E-5</v>
      </c>
      <c r="AY140" t="s">
        <v>357</v>
      </c>
      <c r="AZ140" t="s">
        <v>224</v>
      </c>
      <c r="BA140">
        <v>800</v>
      </c>
      <c r="BB140">
        <v>1.9363286959569917E-5</v>
      </c>
      <c r="BD140">
        <f t="shared" si="53"/>
        <v>9.4659974729354403E-5</v>
      </c>
      <c r="BF140">
        <f t="shared" si="54"/>
        <v>1.0307851368333848E-4</v>
      </c>
      <c r="BH140">
        <f t="shared" si="45"/>
        <v>1.2931226024856781E-4</v>
      </c>
      <c r="BJ140">
        <f t="shared" si="46"/>
        <v>9.1757175333204058E-2</v>
      </c>
      <c r="BL140" s="1">
        <f t="shared" si="47"/>
        <v>9.656190992554009E-2</v>
      </c>
      <c r="BN140">
        <f t="shared" si="48"/>
        <v>0.10106805017125714</v>
      </c>
      <c r="BP140">
        <v>9.1009090515139626</v>
      </c>
      <c r="BQ140" s="4">
        <v>78.22</v>
      </c>
      <c r="BR140">
        <v>11.27</v>
      </c>
      <c r="BT140" s="1">
        <v>2.4821000000000002E-7</v>
      </c>
      <c r="BV140" s="11">
        <f t="shared" si="49"/>
        <v>7.9533598954215314</v>
      </c>
    </row>
    <row r="141" spans="1:74" x14ac:dyDescent="0.25">
      <c r="A141" t="s">
        <v>141</v>
      </c>
      <c r="B141" t="s">
        <v>5</v>
      </c>
      <c r="C141" s="1">
        <v>2.1700000000000001E-3</v>
      </c>
      <c r="D141">
        <v>1.3058058814387381E-8</v>
      </c>
      <c r="F141" t="s">
        <v>141</v>
      </c>
      <c r="G141" t="s">
        <v>6</v>
      </c>
      <c r="H141" s="1">
        <v>1.48E-3</v>
      </c>
      <c r="I141">
        <v>8.8836074316687364E-9</v>
      </c>
      <c r="K141" t="s">
        <v>141</v>
      </c>
      <c r="L141" t="s">
        <v>7</v>
      </c>
      <c r="M141" s="1">
        <v>1.3799999999999999E-3</v>
      </c>
      <c r="N141">
        <v>8.2785626771801388E-9</v>
      </c>
      <c r="P141" t="s">
        <v>141</v>
      </c>
      <c r="Q141" t="s">
        <v>446</v>
      </c>
      <c r="R141">
        <v>5.8490084629790025E-9</v>
      </c>
      <c r="T141">
        <f t="shared" si="50"/>
        <v>4.174451382718645E-9</v>
      </c>
      <c r="V141" s="1">
        <f t="shared" si="51"/>
        <v>4.7794961372072427E-9</v>
      </c>
      <c r="X141">
        <f t="shared" si="43"/>
        <v>7.209050351408379E-9</v>
      </c>
      <c r="AA141" t="s">
        <v>358</v>
      </c>
      <c r="AB141" t="s">
        <v>224</v>
      </c>
      <c r="AC141">
        <v>350</v>
      </c>
      <c r="AD141" s="1">
        <v>1.3232809907453999E-4</v>
      </c>
      <c r="AE141" s="1">
        <v>2.0764245600645201E-6</v>
      </c>
      <c r="AF141" s="1">
        <v>2.9036590007085699E-6</v>
      </c>
      <c r="AG141">
        <f t="shared" si="41"/>
        <v>1.3237623872594095E-4</v>
      </c>
      <c r="AI141" t="s">
        <v>358</v>
      </c>
      <c r="AJ141" t="s">
        <v>224</v>
      </c>
      <c r="AK141">
        <v>550</v>
      </c>
      <c r="AL141" s="1">
        <v>4.7167775700236002E-5</v>
      </c>
      <c r="AM141" s="1">
        <v>1.5583052200711301E-6</v>
      </c>
      <c r="AN141" s="1">
        <v>1.64413215065711E-6</v>
      </c>
      <c r="AO141">
        <f t="shared" si="42"/>
        <v>4.7222140466051506E-5</v>
      </c>
      <c r="AQ141" t="s">
        <v>358</v>
      </c>
      <c r="AR141" t="s">
        <v>224</v>
      </c>
      <c r="AS141">
        <v>600</v>
      </c>
      <c r="AT141" s="1">
        <v>3.9802013500236E-5</v>
      </c>
      <c r="AU141" s="1">
        <v>1.3413572400512801E-6</v>
      </c>
      <c r="AV141" s="1">
        <v>2.0537775068835299E-7</v>
      </c>
      <c r="AW141">
        <f t="shared" si="52"/>
        <v>3.9825139019705692E-5</v>
      </c>
      <c r="AY141" t="s">
        <v>358</v>
      </c>
      <c r="AZ141" t="s">
        <v>224</v>
      </c>
      <c r="BA141">
        <v>800</v>
      </c>
      <c r="BB141">
        <v>1.7967593967208326E-5</v>
      </c>
      <c r="BD141">
        <f t="shared" si="53"/>
        <v>8.5154098259889447E-5</v>
      </c>
      <c r="BF141">
        <f t="shared" si="54"/>
        <v>9.2551099706235254E-5</v>
      </c>
      <c r="BH141">
        <f t="shared" si="45"/>
        <v>1.1440864475873262E-4</v>
      </c>
      <c r="BJ141">
        <f t="shared" si="46"/>
        <v>4.9022319160473775E-2</v>
      </c>
      <c r="BL141" s="1">
        <f t="shared" si="47"/>
        <v>5.1641700124339454E-2</v>
      </c>
      <c r="BN141">
        <f t="shared" si="48"/>
        <v>6.3011412875407957E-2</v>
      </c>
      <c r="BP141">
        <v>5.641697431548879</v>
      </c>
      <c r="BQ141" s="4">
        <v>78.239999999999995</v>
      </c>
      <c r="BR141">
        <v>10.7</v>
      </c>
      <c r="BT141" s="1">
        <v>2.3117E-7</v>
      </c>
      <c r="BV141" s="11">
        <f t="shared" si="49"/>
        <v>5.2791423127889381</v>
      </c>
    </row>
    <row r="142" spans="1:74" x14ac:dyDescent="0.25">
      <c r="A142" t="s">
        <v>142</v>
      </c>
      <c r="B142" t="s">
        <v>5</v>
      </c>
      <c r="C142" s="1">
        <v>2.4499999999999999E-3</v>
      </c>
      <c r="D142">
        <v>1.4673309101903362E-8</v>
      </c>
      <c r="F142" t="s">
        <v>142</v>
      </c>
      <c r="G142" t="s">
        <v>6</v>
      </c>
      <c r="H142" s="1">
        <v>1.6100000000000001E-3</v>
      </c>
      <c r="I142">
        <v>9.6643369663935042E-9</v>
      </c>
      <c r="K142" t="s">
        <v>142</v>
      </c>
      <c r="L142" t="s">
        <v>7</v>
      </c>
      <c r="M142" s="1">
        <v>1.6299999999999999E-3</v>
      </c>
      <c r="N142">
        <v>9.7836190134326053E-9</v>
      </c>
      <c r="P142" t="s">
        <v>142</v>
      </c>
      <c r="Q142" t="s">
        <v>446</v>
      </c>
      <c r="R142">
        <v>6.5410240788427001E-9</v>
      </c>
      <c r="T142">
        <f t="shared" si="50"/>
        <v>5.0089721355098576E-9</v>
      </c>
      <c r="V142" s="1">
        <f t="shared" si="51"/>
        <v>4.8896900884707565E-9</v>
      </c>
      <c r="X142">
        <f t="shared" si="43"/>
        <v>8.1322850230606617E-9</v>
      </c>
      <c r="AA142" t="s">
        <v>359</v>
      </c>
      <c r="AB142" t="s">
        <v>224</v>
      </c>
      <c r="AC142">
        <v>350</v>
      </c>
      <c r="AD142" s="1">
        <v>1.2812221312341501E-4</v>
      </c>
      <c r="AE142" s="1">
        <v>2.1910907200463199E-6</v>
      </c>
      <c r="AF142" s="1">
        <v>1.88972200076831E-6</v>
      </c>
      <c r="AG142">
        <f t="shared" si="41"/>
        <v>1.28154880607121E-4</v>
      </c>
      <c r="AI142" t="s">
        <v>359</v>
      </c>
      <c r="AJ142" t="s">
        <v>224</v>
      </c>
      <c r="AK142">
        <v>550</v>
      </c>
      <c r="AL142" s="1">
        <v>4.69720358491446E-5</v>
      </c>
      <c r="AM142" s="1">
        <v>1.0120374100397E-6</v>
      </c>
      <c r="AN142" s="1">
        <v>1.6647316007701501E-6</v>
      </c>
      <c r="AO142">
        <f t="shared" si="42"/>
        <v>4.7012420729369465E-5</v>
      </c>
      <c r="AQ142" t="s">
        <v>359</v>
      </c>
      <c r="AR142" t="s">
        <v>224</v>
      </c>
      <c r="AS142">
        <v>600</v>
      </c>
      <c r="AT142" s="1">
        <v>3.9726477199150602E-5</v>
      </c>
      <c r="AU142" s="1">
        <v>1.3769560500578999E-6</v>
      </c>
      <c r="AV142" s="1">
        <v>1.39484180075085E-6</v>
      </c>
      <c r="AW142">
        <f t="shared" si="52"/>
        <v>3.9774798330947521E-5</v>
      </c>
      <c r="AY142" t="s">
        <v>359</v>
      </c>
      <c r="AZ142" t="s">
        <v>224</v>
      </c>
      <c r="BA142">
        <v>800</v>
      </c>
      <c r="BB142">
        <v>1.6906069825692402E-5</v>
      </c>
      <c r="BD142">
        <f t="shared" si="53"/>
        <v>8.1142459877751538E-5</v>
      </c>
      <c r="BF142">
        <f t="shared" si="54"/>
        <v>8.8380082276173482E-5</v>
      </c>
      <c r="BH142">
        <f t="shared" si="45"/>
        <v>1.112488107814286E-4</v>
      </c>
      <c r="BJ142">
        <f t="shared" si="46"/>
        <v>6.1730592627538383E-2</v>
      </c>
      <c r="BL142" s="1">
        <f t="shared" si="47"/>
        <v>5.5325701928985144E-2</v>
      </c>
      <c r="BN142">
        <f t="shared" si="48"/>
        <v>7.3099972628365678E-2</v>
      </c>
      <c r="BP142">
        <v>7.1738128576401818</v>
      </c>
      <c r="BQ142" s="4">
        <v>78.259999999999991</v>
      </c>
      <c r="BR142">
        <v>10.06</v>
      </c>
      <c r="BT142" s="1">
        <v>2.2817000000000001E-7</v>
      </c>
      <c r="BV142" s="11">
        <f t="shared" si="49"/>
        <v>6.3925118709243245</v>
      </c>
    </row>
    <row r="143" spans="1:74" x14ac:dyDescent="0.25">
      <c r="A143" t="s">
        <v>143</v>
      </c>
      <c r="B143" t="s">
        <v>5</v>
      </c>
      <c r="C143" s="1">
        <v>2.2300000000000002E-3</v>
      </c>
      <c r="D143">
        <v>1.3349790260524696E-8</v>
      </c>
      <c r="F143" t="s">
        <v>143</v>
      </c>
      <c r="G143" t="s">
        <v>6</v>
      </c>
      <c r="H143" s="1">
        <v>1.6199999999999999E-3</v>
      </c>
      <c r="I143">
        <v>9.7252086867069327E-9</v>
      </c>
      <c r="K143" t="s">
        <v>143</v>
      </c>
      <c r="L143" t="s">
        <v>7</v>
      </c>
      <c r="M143" s="1">
        <v>1.31E-3</v>
      </c>
      <c r="N143">
        <v>7.8584444389459158E-9</v>
      </c>
      <c r="P143" t="s">
        <v>143</v>
      </c>
      <c r="Q143" t="s">
        <v>446</v>
      </c>
      <c r="R143">
        <v>4.7402229863161502E-9</v>
      </c>
      <c r="T143">
        <f t="shared" si="50"/>
        <v>3.6245815738177633E-9</v>
      </c>
      <c r="V143" s="1">
        <f t="shared" si="51"/>
        <v>5.4913458215787801E-9</v>
      </c>
      <c r="X143">
        <f t="shared" si="43"/>
        <v>8.6095672742085466E-9</v>
      </c>
      <c r="AA143" t="s">
        <v>360</v>
      </c>
      <c r="AB143" t="s">
        <v>224</v>
      </c>
      <c r="AC143">
        <v>350</v>
      </c>
      <c r="AD143">
        <v>1.3170656092300001E-4</v>
      </c>
      <c r="AE143" s="1">
        <v>1.54434200380478E-8</v>
      </c>
      <c r="AF143" s="1">
        <v>3.8749169007545199E-6</v>
      </c>
      <c r="AG143">
        <f t="shared" si="41"/>
        <v>1.3176355114238113E-4</v>
      </c>
      <c r="AI143" t="s">
        <v>360</v>
      </c>
      <c r="AJ143" t="s">
        <v>224</v>
      </c>
      <c r="AK143">
        <v>550</v>
      </c>
      <c r="AL143" s="1">
        <v>4.7437017498604901E-5</v>
      </c>
      <c r="AM143" s="1">
        <v>1.6047835008271299E-7</v>
      </c>
      <c r="AN143" s="1">
        <v>2.0588348507462501E-6</v>
      </c>
      <c r="AO143">
        <f t="shared" si="42"/>
        <v>4.7481945867944795E-5</v>
      </c>
      <c r="AQ143" t="s">
        <v>360</v>
      </c>
      <c r="AR143" t="s">
        <v>224</v>
      </c>
      <c r="AS143">
        <v>600</v>
      </c>
      <c r="AT143" s="1">
        <v>3.8513075873814503E-5</v>
      </c>
      <c r="AU143" s="1">
        <v>3.01368720071133E-7</v>
      </c>
      <c r="AV143" s="1">
        <v>2.2892526507434999E-6</v>
      </c>
      <c r="AW143">
        <f t="shared" si="52"/>
        <v>3.8582230548097734E-5</v>
      </c>
      <c r="AY143" t="s">
        <v>360</v>
      </c>
      <c r="AZ143" t="s">
        <v>224</v>
      </c>
      <c r="BA143">
        <v>800</v>
      </c>
      <c r="BB143">
        <v>1.5814785378985003E-5</v>
      </c>
      <c r="BD143">
        <f t="shared" si="53"/>
        <v>8.4281605274436327E-5</v>
      </c>
      <c r="BF143">
        <f t="shared" si="54"/>
        <v>9.3181320594283394E-5</v>
      </c>
      <c r="BH143">
        <f t="shared" si="45"/>
        <v>1.1594876576339613E-4</v>
      </c>
      <c r="BJ143">
        <f t="shared" si="46"/>
        <v>4.3005606763367434E-2</v>
      </c>
      <c r="BL143" s="1">
        <f t="shared" si="47"/>
        <v>5.8931830827858758E-2</v>
      </c>
      <c r="BN143">
        <f t="shared" si="48"/>
        <v>7.4253203279258204E-2</v>
      </c>
      <c r="BP143">
        <v>5.7261414054253832</v>
      </c>
      <c r="BQ143" s="4">
        <v>78.279999999999987</v>
      </c>
      <c r="BR143">
        <v>10.39</v>
      </c>
      <c r="BT143" s="1">
        <v>2.4367000000000001E-7</v>
      </c>
      <c r="BV143" s="11">
        <f t="shared" si="49"/>
        <v>5.2729885910581009</v>
      </c>
    </row>
    <row r="144" spans="1:74" x14ac:dyDescent="0.25">
      <c r="A144" t="s">
        <v>144</v>
      </c>
      <c r="B144" t="s">
        <v>5</v>
      </c>
      <c r="C144" s="1">
        <v>2.4299999999999999E-3</v>
      </c>
      <c r="D144">
        <v>1.45976566955111E-8</v>
      </c>
      <c r="F144" t="s">
        <v>144</v>
      </c>
      <c r="G144" t="s">
        <v>6</v>
      </c>
      <c r="H144" s="1">
        <v>1.82E-3</v>
      </c>
      <c r="I144">
        <v>1.0918992627527505E-8</v>
      </c>
      <c r="K144" t="s">
        <v>144</v>
      </c>
      <c r="L144" t="s">
        <v>7</v>
      </c>
      <c r="M144" s="1">
        <v>1.57E-3</v>
      </c>
      <c r="N144">
        <v>9.4220413923947508E-9</v>
      </c>
      <c r="P144" t="s">
        <v>144</v>
      </c>
      <c r="Q144" t="s">
        <v>446</v>
      </c>
      <c r="R144">
        <v>6.29855538992871E-9</v>
      </c>
      <c r="T144">
        <f t="shared" si="50"/>
        <v>3.6786640679835954E-9</v>
      </c>
      <c r="V144" s="1">
        <f t="shared" si="51"/>
        <v>5.1756153031163493E-9</v>
      </c>
      <c r="X144">
        <f t="shared" si="43"/>
        <v>8.2991013055823901E-9</v>
      </c>
      <c r="AA144" t="s">
        <v>361</v>
      </c>
      <c r="AB144" t="s">
        <v>224</v>
      </c>
      <c r="AC144">
        <v>350</v>
      </c>
      <c r="AD144" s="1">
        <v>1.17707800548591E-4</v>
      </c>
      <c r="AE144" s="1">
        <v>1.38707074998346E-6</v>
      </c>
      <c r="AF144" s="1">
        <v>5.3435220007297103E-6</v>
      </c>
      <c r="AG144">
        <f t="shared" si="41"/>
        <v>1.178371906599297E-4</v>
      </c>
      <c r="AI144" t="s">
        <v>361</v>
      </c>
      <c r="AJ144" t="s">
        <v>224</v>
      </c>
      <c r="AK144">
        <v>550</v>
      </c>
      <c r="AL144" s="1">
        <v>4.3083729622687599E-5</v>
      </c>
      <c r="AM144" s="1">
        <v>1.7079534400512801E-6</v>
      </c>
      <c r="AN144" s="1">
        <v>4.1446833507949602E-6</v>
      </c>
      <c r="AO144">
        <f t="shared" si="42"/>
        <v>4.3316316362689351E-5</v>
      </c>
      <c r="AQ144" t="s">
        <v>361</v>
      </c>
      <c r="AR144" t="s">
        <v>224</v>
      </c>
      <c r="AS144">
        <v>600</v>
      </c>
      <c r="AT144" s="1">
        <v>3.4962692873084999E-5</v>
      </c>
      <c r="AU144" s="1">
        <v>1.1538405700628601E-6</v>
      </c>
      <c r="AV144" s="1">
        <v>3.1646676007866901E-6</v>
      </c>
      <c r="AW144">
        <f t="shared" si="52"/>
        <v>3.5124583442686699E-5</v>
      </c>
      <c r="AY144" t="s">
        <v>361</v>
      </c>
      <c r="AZ144" t="s">
        <v>224</v>
      </c>
      <c r="BA144">
        <v>800</v>
      </c>
      <c r="BB144">
        <v>1.571311082887432E-5</v>
      </c>
      <c r="BD144">
        <f t="shared" si="53"/>
        <v>7.4520874297240357E-5</v>
      </c>
      <c r="BF144">
        <f t="shared" si="54"/>
        <v>8.2712607217243003E-5</v>
      </c>
      <c r="BH144">
        <f t="shared" si="45"/>
        <v>1.0212407983105538E-4</v>
      </c>
      <c r="BJ144">
        <f t="shared" si="46"/>
        <v>4.9364209728814508E-2</v>
      </c>
      <c r="BL144" s="1">
        <f t="shared" si="47"/>
        <v>6.2573475522572988E-2</v>
      </c>
      <c r="BN144">
        <f t="shared" si="48"/>
        <v>8.1264882085710394E-2</v>
      </c>
      <c r="BP144">
        <v>7.031767050203845</v>
      </c>
      <c r="BQ144" s="4">
        <v>78.299999999999983</v>
      </c>
      <c r="BR144">
        <v>9.64</v>
      </c>
      <c r="BT144" s="1">
        <v>2.3384999999999999E-7</v>
      </c>
      <c r="BV144" s="11">
        <f t="shared" si="49"/>
        <v>6.4754318588764033</v>
      </c>
    </row>
    <row r="145" spans="1:75" x14ac:dyDescent="0.25">
      <c r="A145" t="s">
        <v>145</v>
      </c>
      <c r="B145" t="s">
        <v>5</v>
      </c>
      <c r="C145" s="1">
        <v>3.2599999999999999E-3</v>
      </c>
      <c r="D145">
        <v>1.9580176199411485E-8</v>
      </c>
      <c r="F145" t="s">
        <v>145</v>
      </c>
      <c r="G145" t="s">
        <v>6</v>
      </c>
      <c r="H145" s="1">
        <v>2.2799999999999999E-3</v>
      </c>
      <c r="I145">
        <v>1.3685751714831012E-8</v>
      </c>
      <c r="K145" t="s">
        <v>145</v>
      </c>
      <c r="L145" t="s">
        <v>7</v>
      </c>
      <c r="M145" s="1">
        <v>2.2000000000000001E-3</v>
      </c>
      <c r="N145">
        <v>1.3244715927493501E-8</v>
      </c>
      <c r="P145" t="s">
        <v>145</v>
      </c>
      <c r="Q145" t="s">
        <v>446</v>
      </c>
      <c r="R145">
        <v>9.06292447281781E-9</v>
      </c>
      <c r="T145">
        <f t="shared" si="50"/>
        <v>5.8944244845804726E-9</v>
      </c>
      <c r="V145" s="1">
        <f t="shared" si="51"/>
        <v>6.3354602719179838E-9</v>
      </c>
      <c r="X145">
        <f t="shared" si="43"/>
        <v>1.0517251726593675E-8</v>
      </c>
      <c r="AA145" t="s">
        <v>362</v>
      </c>
      <c r="AB145" t="s">
        <v>224</v>
      </c>
      <c r="AC145">
        <v>350</v>
      </c>
      <c r="AD145" s="1">
        <v>1.1896348098361101E-4</v>
      </c>
      <c r="AE145" s="1">
        <v>1.90087284003474E-6</v>
      </c>
      <c r="AF145" s="1">
        <v>1.4932751001884001E-6</v>
      </c>
      <c r="AG145">
        <f t="shared" si="41"/>
        <v>1.1898803719625265E-4</v>
      </c>
      <c r="AI145" t="s">
        <v>362</v>
      </c>
      <c r="AJ145" t="s">
        <v>224</v>
      </c>
      <c r="AK145">
        <v>550</v>
      </c>
      <c r="AL145" s="1">
        <v>4.21061802226738E-5</v>
      </c>
      <c r="AM145" s="1">
        <v>1.41373902007113E-6</v>
      </c>
      <c r="AN145" s="1">
        <v>6.1206270078025598E-7</v>
      </c>
      <c r="AO145">
        <f t="shared" si="42"/>
        <v>4.2134352869254372E-5</v>
      </c>
      <c r="AQ145" t="s">
        <v>362</v>
      </c>
      <c r="AR145" t="s">
        <v>224</v>
      </c>
      <c r="AS145">
        <v>600</v>
      </c>
      <c r="AT145" s="1">
        <v>3.6174236747839801E-5</v>
      </c>
      <c r="AU145" s="1">
        <v>1.6871566300529399E-6</v>
      </c>
      <c r="AV145" s="1">
        <v>1.4604640077198401E-7</v>
      </c>
      <c r="AW145">
        <f t="shared" si="52"/>
        <v>3.621385413532055E-5</v>
      </c>
      <c r="AY145" t="s">
        <v>362</v>
      </c>
      <c r="AZ145" t="s">
        <v>224</v>
      </c>
      <c r="BA145">
        <v>800</v>
      </c>
      <c r="BB145">
        <v>1.3725091677297088E-5</v>
      </c>
      <c r="BD145">
        <f t="shared" si="53"/>
        <v>7.6853684326998271E-5</v>
      </c>
      <c r="BF145">
        <f t="shared" si="54"/>
        <v>8.2774183060932099E-5</v>
      </c>
      <c r="BH145">
        <f t="shared" si="45"/>
        <v>1.0526294551895557E-4</v>
      </c>
      <c r="BJ145">
        <f t="shared" si="46"/>
        <v>7.6696706686185431E-2</v>
      </c>
      <c r="BL145" s="1">
        <f t="shared" si="47"/>
        <v>7.6539085468887047E-2</v>
      </c>
      <c r="BN145">
        <f t="shared" si="48"/>
        <v>9.9914092986308711E-2</v>
      </c>
      <c r="BP145">
        <v>9.9236979046593223</v>
      </c>
      <c r="BQ145" s="3">
        <v>78.350000000000009</v>
      </c>
      <c r="BR145">
        <v>8.61</v>
      </c>
      <c r="BT145" s="1">
        <v>2.5606999999999999E-7</v>
      </c>
      <c r="BV145" s="11">
        <f t="shared" si="49"/>
        <v>8.8808542522111278</v>
      </c>
    </row>
    <row r="146" spans="1:75" x14ac:dyDescent="0.25">
      <c r="A146" t="s">
        <v>146</v>
      </c>
      <c r="B146" t="s">
        <v>5</v>
      </c>
      <c r="C146" s="1">
        <v>2.7499999999999998E-3</v>
      </c>
      <c r="D146">
        <v>1.6537381896781608E-8</v>
      </c>
      <c r="F146" t="s">
        <v>146</v>
      </c>
      <c r="G146" t="s">
        <v>6</v>
      </c>
      <c r="H146" s="1">
        <v>2.0600000000000002E-3</v>
      </c>
      <c r="I146">
        <v>1.2361189263173669E-8</v>
      </c>
      <c r="K146" t="s">
        <v>146</v>
      </c>
      <c r="L146" t="s">
        <v>7</v>
      </c>
      <c r="M146" s="1">
        <v>1.73E-3</v>
      </c>
      <c r="N146">
        <v>1.0380856467556037E-8</v>
      </c>
      <c r="P146" t="s">
        <v>146</v>
      </c>
      <c r="Q146" t="s">
        <v>446</v>
      </c>
      <c r="R146">
        <v>8.2204595978570441E-9</v>
      </c>
      <c r="T146">
        <f t="shared" si="50"/>
        <v>4.1761926336079387E-9</v>
      </c>
      <c r="V146" s="1">
        <f t="shared" si="51"/>
        <v>6.1565254292255709E-9</v>
      </c>
      <c r="X146">
        <f t="shared" si="43"/>
        <v>8.3169222989245636E-9</v>
      </c>
      <c r="AA146" t="s">
        <v>363</v>
      </c>
      <c r="AB146" t="s">
        <v>224</v>
      </c>
      <c r="AC146">
        <v>350</v>
      </c>
      <c r="AD146" s="1">
        <v>1.36702482282658E-4</v>
      </c>
      <c r="AE146" s="1">
        <v>-3.77525010014888E-7</v>
      </c>
      <c r="AF146" s="1">
        <v>2.7815425002325101E-6</v>
      </c>
      <c r="AG146">
        <f t="shared" si="41"/>
        <v>1.3673129914563897E-4</v>
      </c>
      <c r="AI146" t="s">
        <v>363</v>
      </c>
      <c r="AJ146" t="s">
        <v>224</v>
      </c>
      <c r="AK146">
        <v>550</v>
      </c>
      <c r="AL146" s="1">
        <v>5.1260180296778199E-5</v>
      </c>
      <c r="AM146" s="1">
        <v>-6.8982253994375603E-7</v>
      </c>
      <c r="AN146" s="1">
        <v>2.6779285008179402E-6</v>
      </c>
      <c r="AO146">
        <f t="shared" si="42"/>
        <v>5.1334717689399202E-5</v>
      </c>
      <c r="AQ146" t="s">
        <v>363</v>
      </c>
      <c r="AR146" t="s">
        <v>224</v>
      </c>
      <c r="AS146">
        <v>600</v>
      </c>
      <c r="AT146" s="1">
        <v>4.0986358996987699E-5</v>
      </c>
      <c r="AU146" s="1">
        <v>-9.1251862994540997E-7</v>
      </c>
      <c r="AV146" s="1">
        <v>3.0893007508243699E-6</v>
      </c>
      <c r="AW146">
        <f t="shared" si="52"/>
        <v>4.1112748548461167E-5</v>
      </c>
      <c r="AY146" t="s">
        <v>363</v>
      </c>
      <c r="AZ146" t="s">
        <v>224</v>
      </c>
      <c r="BA146">
        <v>800</v>
      </c>
      <c r="BB146">
        <v>1.6042261448929661E-5</v>
      </c>
      <c r="BD146">
        <f t="shared" si="53"/>
        <v>8.5396581456239772E-5</v>
      </c>
      <c r="BF146">
        <f t="shared" si="54"/>
        <v>9.5618550597177801E-5</v>
      </c>
      <c r="BH146">
        <f t="shared" si="45"/>
        <v>1.206890376967093E-4</v>
      </c>
      <c r="BJ146">
        <f t="shared" si="46"/>
        <v>4.8903510683831856E-2</v>
      </c>
      <c r="BL146" s="1">
        <f t="shared" si="47"/>
        <v>6.4386307790439162E-2</v>
      </c>
      <c r="BN146">
        <f t="shared" si="48"/>
        <v>6.8911994474800023E-2</v>
      </c>
      <c r="BP146">
        <v>7.3345599459491861</v>
      </c>
      <c r="BQ146" s="4">
        <v>78.370833333333337</v>
      </c>
      <c r="BR146">
        <v>10.47</v>
      </c>
      <c r="BT146" s="1">
        <v>2.3867000000000001E-7</v>
      </c>
      <c r="BV146" s="11">
        <f t="shared" si="49"/>
        <v>6.6179310924214763</v>
      </c>
    </row>
    <row r="147" spans="1:75" x14ac:dyDescent="0.25">
      <c r="A147" t="s">
        <v>147</v>
      </c>
      <c r="B147" t="s">
        <v>5</v>
      </c>
      <c r="C147" s="1">
        <v>4.3699999999999998E-3</v>
      </c>
      <c r="D147">
        <v>2.6247712281263675E-8</v>
      </c>
      <c r="F147" t="s">
        <v>147</v>
      </c>
      <c r="G147" t="s">
        <v>6</v>
      </c>
      <c r="H147" s="1">
        <v>2.99E-3</v>
      </c>
      <c r="I147">
        <v>1.7901163342084782E-8</v>
      </c>
      <c r="K147" t="s">
        <v>147</v>
      </c>
      <c r="L147" t="s">
        <v>7</v>
      </c>
      <c r="M147" s="1">
        <v>3.0599999999999998E-3</v>
      </c>
      <c r="N147">
        <v>1.8353852156972387E-8</v>
      </c>
      <c r="P147" t="s">
        <v>147</v>
      </c>
      <c r="Q147" t="s">
        <v>446</v>
      </c>
      <c r="R147">
        <v>1.3295698552539464E-8</v>
      </c>
      <c r="T147">
        <f t="shared" si="50"/>
        <v>8.3465489391788923E-9</v>
      </c>
      <c r="V147" s="1">
        <f t="shared" si="51"/>
        <v>7.8938601242912881E-9</v>
      </c>
      <c r="X147">
        <f t="shared" si="43"/>
        <v>1.2952013728724211E-8</v>
      </c>
      <c r="AA147" t="s">
        <v>364</v>
      </c>
      <c r="AB147" t="s">
        <v>224</v>
      </c>
      <c r="AC147">
        <v>350</v>
      </c>
      <c r="AD147" s="1">
        <v>1.3731597147204899E-4</v>
      </c>
      <c r="AE147" s="1">
        <v>2.8728708400347399E-6</v>
      </c>
      <c r="AF147" s="1">
        <v>3.1667645507912798E-6</v>
      </c>
      <c r="AG147">
        <f t="shared" si="41"/>
        <v>1.3738252365528972E-4</v>
      </c>
      <c r="AI147" t="s">
        <v>364</v>
      </c>
      <c r="AJ147" t="s">
        <v>224</v>
      </c>
      <c r="AK147">
        <v>550</v>
      </c>
      <c r="AL147" s="1">
        <v>4.9773866497149802E-5</v>
      </c>
      <c r="AM147" s="1">
        <v>3.6125761200794002E-6</v>
      </c>
      <c r="AN147" s="1">
        <v>3.8232332508491804E-6</v>
      </c>
      <c r="AO147">
        <f t="shared" si="42"/>
        <v>5.0051030007282147E-5</v>
      </c>
      <c r="AQ147" t="s">
        <v>364</v>
      </c>
      <c r="AR147" t="s">
        <v>224</v>
      </c>
      <c r="AS147">
        <v>600</v>
      </c>
      <c r="AT147" s="1">
        <v>4.0419659847406797E-5</v>
      </c>
      <c r="AU147" s="1">
        <v>3.2774095000579001E-6</v>
      </c>
      <c r="AV147" s="1">
        <v>2.34994085084459E-6</v>
      </c>
      <c r="AW147">
        <f t="shared" si="52"/>
        <v>4.0620346345318216E-5</v>
      </c>
      <c r="AY147" t="s">
        <v>364</v>
      </c>
      <c r="AZ147" t="s">
        <v>224</v>
      </c>
      <c r="BA147">
        <v>800</v>
      </c>
      <c r="BB147">
        <v>1.7925192133186956E-5</v>
      </c>
      <c r="BD147">
        <f t="shared" si="53"/>
        <v>8.733149364800757E-5</v>
      </c>
      <c r="BF147">
        <f t="shared" si="54"/>
        <v>9.6762177309971508E-5</v>
      </c>
      <c r="BH147">
        <f t="shared" si="45"/>
        <v>1.1945733152210277E-4</v>
      </c>
      <c r="BJ147">
        <f t="shared" si="46"/>
        <v>9.5573184317904028E-2</v>
      </c>
      <c r="BL147" s="1">
        <f t="shared" si="47"/>
        <v>8.1580017562066703E-2</v>
      </c>
      <c r="BN147">
        <f t="shared" si="48"/>
        <v>0.10842376573871271</v>
      </c>
      <c r="BP147">
        <v>11.700826641750654</v>
      </c>
      <c r="BQ147" s="4">
        <v>78.391666666666666</v>
      </c>
      <c r="BR147">
        <v>10.23</v>
      </c>
      <c r="BT147" s="1">
        <v>2.5142000000000001E-7</v>
      </c>
      <c r="BV147" s="11">
        <f t="shared" si="49"/>
        <v>10.205070305751764</v>
      </c>
    </row>
    <row r="148" spans="1:75" x14ac:dyDescent="0.25">
      <c r="A148" t="s">
        <v>148</v>
      </c>
      <c r="B148" t="s">
        <v>5</v>
      </c>
      <c r="C148" s="1">
        <v>2.48E-3</v>
      </c>
      <c r="D148">
        <v>1.4864807432321483E-8</v>
      </c>
      <c r="F148" t="s">
        <v>148</v>
      </c>
      <c r="G148" t="s">
        <v>6</v>
      </c>
      <c r="H148" s="1">
        <v>1.8E-3</v>
      </c>
      <c r="I148">
        <v>1.079716166406709E-8</v>
      </c>
      <c r="K148" t="s">
        <v>148</v>
      </c>
      <c r="L148" t="s">
        <v>7</v>
      </c>
      <c r="M148" s="1">
        <v>1.72E-3</v>
      </c>
      <c r="N148">
        <v>1.0324354701384488E-8</v>
      </c>
      <c r="P148" t="s">
        <v>148</v>
      </c>
      <c r="Q148" t="s">
        <v>446</v>
      </c>
      <c r="R148">
        <v>7.5590541736383916E-9</v>
      </c>
      <c r="T148">
        <f t="shared" si="50"/>
        <v>4.067645768254393E-9</v>
      </c>
      <c r="V148" s="1">
        <f t="shared" si="51"/>
        <v>4.540452730936995E-9</v>
      </c>
      <c r="X148">
        <f t="shared" si="43"/>
        <v>7.3057532586830912E-9</v>
      </c>
      <c r="AA148" t="s">
        <v>365</v>
      </c>
      <c r="AB148" t="s">
        <v>224</v>
      </c>
      <c r="AC148">
        <v>350</v>
      </c>
      <c r="AD148" s="1">
        <v>1.08901453198421E-4</v>
      </c>
      <c r="AE148" s="1">
        <v>9.7362622006286204E-7</v>
      </c>
      <c r="AF148" s="1">
        <v>3.7122182507719902E-6</v>
      </c>
      <c r="AG148">
        <f t="shared" si="41"/>
        <v>1.0896905533721782E-4</v>
      </c>
      <c r="AI148" t="s">
        <v>365</v>
      </c>
      <c r="AJ148" t="s">
        <v>224</v>
      </c>
      <c r="AK148">
        <v>550</v>
      </c>
      <c r="AL148" s="1">
        <v>3.8184837932604297E-5</v>
      </c>
      <c r="AM148" s="1">
        <v>1.70102117002978E-6</v>
      </c>
      <c r="AN148" s="1">
        <v>1.6932254502132199E-6</v>
      </c>
      <c r="AO148">
        <f t="shared" si="42"/>
        <v>3.8260192542450641E-5</v>
      </c>
      <c r="AQ148" t="s">
        <v>365</v>
      </c>
      <c r="AR148" t="s">
        <v>224</v>
      </c>
      <c r="AS148">
        <v>600</v>
      </c>
      <c r="AT148" s="1">
        <v>3.2018811528940901E-5</v>
      </c>
      <c r="AU148" s="1">
        <v>1.6141334298627001E-6</v>
      </c>
      <c r="AV148" s="1">
        <v>2.1485103003666898E-6</v>
      </c>
      <c r="AW148">
        <f t="shared" si="52"/>
        <v>3.2131383645371095E-5</v>
      </c>
      <c r="AY148" t="s">
        <v>365</v>
      </c>
      <c r="AZ148" t="s">
        <v>224</v>
      </c>
      <c r="BA148">
        <v>800</v>
      </c>
      <c r="BB148">
        <v>1.1964952935055741E-5</v>
      </c>
      <c r="BD148">
        <f t="shared" si="53"/>
        <v>7.0708862794767178E-5</v>
      </c>
      <c r="BF148">
        <f t="shared" si="54"/>
        <v>7.6837671691846725E-5</v>
      </c>
      <c r="BH148">
        <f t="shared" si="45"/>
        <v>9.7004102402162076E-5</v>
      </c>
      <c r="BJ148">
        <f t="shared" si="46"/>
        <v>5.7526674980769445E-2</v>
      </c>
      <c r="BL148" s="1">
        <f t="shared" si="47"/>
        <v>5.9091492896169891E-2</v>
      </c>
      <c r="BN148">
        <f t="shared" si="48"/>
        <v>7.5313858669551037E-2</v>
      </c>
      <c r="BP148">
        <v>7.7946707763115803</v>
      </c>
      <c r="BQ148" s="4">
        <v>78.412499999999994</v>
      </c>
      <c r="BR148">
        <v>8.24</v>
      </c>
      <c r="BT148" s="1">
        <v>2.5666000000000002E-7</v>
      </c>
      <c r="BV148" s="11">
        <f t="shared" si="49"/>
        <v>7.028681853444378</v>
      </c>
    </row>
    <row r="149" spans="1:75" x14ac:dyDescent="0.25">
      <c r="A149" t="s">
        <v>149</v>
      </c>
      <c r="B149" t="s">
        <v>5</v>
      </c>
      <c r="C149" s="1">
        <v>3.96E-3</v>
      </c>
      <c r="D149">
        <v>2.3782396851452968E-8</v>
      </c>
      <c r="F149" t="s">
        <v>149</v>
      </c>
      <c r="G149" t="s">
        <v>6</v>
      </c>
      <c r="H149" s="1">
        <v>2.6099999999999999E-3</v>
      </c>
      <c r="I149">
        <v>1.5672884227225055E-8</v>
      </c>
      <c r="K149" t="s">
        <v>149</v>
      </c>
      <c r="L149" t="s">
        <v>7</v>
      </c>
      <c r="M149" s="1">
        <v>2.49E-3</v>
      </c>
      <c r="N149">
        <v>1.4953293951501123E-8</v>
      </c>
      <c r="P149" t="s">
        <v>149</v>
      </c>
      <c r="Q149" t="s">
        <v>446</v>
      </c>
      <c r="R149">
        <v>1.257179382586272E-8</v>
      </c>
      <c r="T149">
        <f t="shared" si="50"/>
        <v>8.109512624227913E-9</v>
      </c>
      <c r="V149" s="1">
        <f t="shared" si="51"/>
        <v>8.8291028999518454E-9</v>
      </c>
      <c r="X149">
        <f t="shared" si="43"/>
        <v>1.1210603025590248E-8</v>
      </c>
      <c r="AA149" t="s">
        <v>366</v>
      </c>
      <c r="AB149" t="s">
        <v>224</v>
      </c>
      <c r="AC149">
        <v>350</v>
      </c>
      <c r="AD149" s="1">
        <v>1.32428976298876E-4</v>
      </c>
      <c r="AE149">
        <v>1.62316265E-6</v>
      </c>
      <c r="AF149" s="1">
        <v>3.6691691006819201E-6</v>
      </c>
      <c r="AG149">
        <f t="shared" si="41"/>
        <v>1.3248974006482923E-4</v>
      </c>
      <c r="AI149" t="s">
        <v>366</v>
      </c>
      <c r="AJ149" t="s">
        <v>224</v>
      </c>
      <c r="AK149">
        <v>550</v>
      </c>
      <c r="AL149" s="1">
        <v>4.7972095773424999E-5</v>
      </c>
      <c r="AM149" s="1">
        <v>3.2190649500413601E-6</v>
      </c>
      <c r="AN149" s="1">
        <v>2.0719099507581998E-6</v>
      </c>
      <c r="AO149">
        <f t="shared" si="42"/>
        <v>4.8124600392016724E-5</v>
      </c>
      <c r="AQ149" t="s">
        <v>366</v>
      </c>
      <c r="AR149" t="s">
        <v>224</v>
      </c>
      <c r="AS149">
        <v>600</v>
      </c>
      <c r="AT149" s="1">
        <v>4.0568034723405197E-5</v>
      </c>
      <c r="AU149" s="1">
        <v>2.88185072008768E-6</v>
      </c>
      <c r="AV149" s="1">
        <v>3.7841313007563601E-6</v>
      </c>
      <c r="AW149">
        <f t="shared" si="52"/>
        <v>4.0845931922207914E-5</v>
      </c>
      <c r="AY149" t="s">
        <v>366</v>
      </c>
      <c r="AZ149" t="s">
        <v>224</v>
      </c>
      <c r="BA149">
        <v>800</v>
      </c>
      <c r="BB149">
        <v>1.5775529951725248E-5</v>
      </c>
      <c r="BD149">
        <f t="shared" si="53"/>
        <v>8.4365139672812496E-5</v>
      </c>
      <c r="BF149">
        <f t="shared" si="54"/>
        <v>9.1643808142621321E-5</v>
      </c>
      <c r="BH149">
        <f t="shared" si="45"/>
        <v>1.1671421011310398E-4</v>
      </c>
      <c r="BJ149">
        <f t="shared" si="46"/>
        <v>9.6123975562400266E-2</v>
      </c>
      <c r="BL149" s="1">
        <f t="shared" si="47"/>
        <v>9.6341510451109724E-2</v>
      </c>
      <c r="BN149">
        <f t="shared" si="48"/>
        <v>9.605174052693681E-2</v>
      </c>
      <c r="BP149">
        <v>10.773777508395984</v>
      </c>
      <c r="BQ149" s="4">
        <v>78.433333333333323</v>
      </c>
      <c r="BR149">
        <v>9.23</v>
      </c>
      <c r="BT149" s="1">
        <v>2.5477E-7</v>
      </c>
      <c r="BV149" s="11">
        <f t="shared" si="49"/>
        <v>10.113596756530242</v>
      </c>
    </row>
    <row r="150" spans="1:75" x14ac:dyDescent="0.25">
      <c r="A150" t="s">
        <v>150</v>
      </c>
      <c r="B150" t="s">
        <v>5</v>
      </c>
      <c r="C150" s="1">
        <v>3.6099999999999999E-3</v>
      </c>
      <c r="D150">
        <v>2.1671179017303143E-8</v>
      </c>
      <c r="F150" t="s">
        <v>150</v>
      </c>
      <c r="G150" t="s">
        <v>6</v>
      </c>
      <c r="H150" s="1">
        <v>2.9499999999999999E-3</v>
      </c>
      <c r="I150">
        <v>1.7663199030753177E-8</v>
      </c>
      <c r="K150" t="s">
        <v>150</v>
      </c>
      <c r="L150" t="s">
        <v>7</v>
      </c>
      <c r="M150" s="1">
        <v>2.8400000000000001E-3</v>
      </c>
      <c r="N150">
        <v>1.7013609258473054E-8</v>
      </c>
      <c r="P150" t="s">
        <v>150</v>
      </c>
      <c r="Q150" t="s">
        <v>446</v>
      </c>
      <c r="R150">
        <v>1.2773413795849564E-8</v>
      </c>
      <c r="T150">
        <f t="shared" si="50"/>
        <v>4.0079799865499659E-9</v>
      </c>
      <c r="V150" s="1">
        <f t="shared" si="51"/>
        <v>4.6575697588300889E-9</v>
      </c>
      <c r="X150">
        <f t="shared" si="43"/>
        <v>8.8977652214535786E-9</v>
      </c>
      <c r="AA150" t="s">
        <v>367</v>
      </c>
      <c r="AB150" t="s">
        <v>224</v>
      </c>
      <c r="AC150">
        <v>350</v>
      </c>
      <c r="AD150" s="1">
        <v>1.62599757782921E-4</v>
      </c>
      <c r="AE150" s="1">
        <v>3.20665594012572E-6</v>
      </c>
      <c r="AF150" s="1">
        <v>4.2949236502554899E-6</v>
      </c>
      <c r="AG150">
        <f t="shared" si="41"/>
        <v>1.6268807652235749E-4</v>
      </c>
      <c r="AI150" t="s">
        <v>367</v>
      </c>
      <c r="AJ150" t="s">
        <v>224</v>
      </c>
      <c r="AK150">
        <v>550</v>
      </c>
      <c r="AL150" s="1">
        <v>6.0804731353826203E-5</v>
      </c>
      <c r="AM150" s="1">
        <v>4.0980817198974399E-6</v>
      </c>
      <c r="AN150" s="1">
        <v>3.8630753004098904E-6</v>
      </c>
      <c r="AO150">
        <f t="shared" si="42"/>
        <v>6.1064989802427463E-5</v>
      </c>
      <c r="AQ150" t="s">
        <v>367</v>
      </c>
      <c r="AR150" t="s">
        <v>224</v>
      </c>
      <c r="AS150">
        <v>600</v>
      </c>
      <c r="AT150" s="1">
        <v>5.0531175399464898E-5</v>
      </c>
      <c r="AU150" s="1">
        <v>4.3726588200297798E-6</v>
      </c>
      <c r="AV150" s="1">
        <v>3.3337804506341301E-6</v>
      </c>
      <c r="AW150">
        <f t="shared" si="52"/>
        <v>5.0829459219048364E-5</v>
      </c>
      <c r="AY150" t="s">
        <v>367</v>
      </c>
      <c r="AZ150" t="s">
        <v>224</v>
      </c>
      <c r="BA150">
        <v>800</v>
      </c>
      <c r="BB150">
        <v>2.2786854597319463E-5</v>
      </c>
      <c r="BD150">
        <f t="shared" si="53"/>
        <v>1.0162308671993002E-4</v>
      </c>
      <c r="BF150">
        <f t="shared" si="54"/>
        <v>1.1185861730330912E-4</v>
      </c>
      <c r="BH150">
        <f t="shared" si="45"/>
        <v>1.3990122192503803E-4</v>
      </c>
      <c r="BJ150">
        <f t="shared" si="46"/>
        <v>3.9439659981947123E-2</v>
      </c>
      <c r="BL150" s="1">
        <f t="shared" si="47"/>
        <v>4.1638005824807416E-2</v>
      </c>
      <c r="BN150">
        <f t="shared" si="48"/>
        <v>6.3600339575455495E-2</v>
      </c>
      <c r="BP150">
        <v>7.994378037297702</v>
      </c>
      <c r="BQ150" s="4">
        <v>78.454166666666652</v>
      </c>
      <c r="BR150">
        <v>11.52</v>
      </c>
      <c r="BT150" s="1">
        <v>2.4943999999999999E-7</v>
      </c>
      <c r="BV150" s="11">
        <f t="shared" si="49"/>
        <v>7.5416081387944924</v>
      </c>
    </row>
    <row r="151" spans="1:75" x14ac:dyDescent="0.25">
      <c r="A151" t="s">
        <v>151</v>
      </c>
      <c r="B151" t="s">
        <v>5</v>
      </c>
      <c r="C151" s="1">
        <v>2.2000000000000001E-3</v>
      </c>
      <c r="D151">
        <v>1.3247702631022481E-8</v>
      </c>
      <c r="F151" t="s">
        <v>151</v>
      </c>
      <c r="G151" t="s">
        <v>6</v>
      </c>
      <c r="H151" s="1">
        <v>1.5100000000000001E-3</v>
      </c>
      <c r="I151">
        <v>9.0602538595781084E-9</v>
      </c>
      <c r="K151" t="s">
        <v>151</v>
      </c>
      <c r="L151" t="s">
        <v>7</v>
      </c>
      <c r="M151" s="1">
        <v>1.31E-3</v>
      </c>
      <c r="N151">
        <v>7.8618728048728949E-9</v>
      </c>
      <c r="P151" t="s">
        <v>151</v>
      </c>
      <c r="Q151" t="s">
        <v>446</v>
      </c>
      <c r="R151">
        <v>5.730985953568548E-9</v>
      </c>
      <c r="T151">
        <f t="shared" si="50"/>
        <v>4.1874487714443725E-9</v>
      </c>
      <c r="V151" s="1">
        <f t="shared" si="51"/>
        <v>5.385829826149586E-9</v>
      </c>
      <c r="X151">
        <f t="shared" si="43"/>
        <v>7.5167166774539329E-9</v>
      </c>
      <c r="AA151" t="s">
        <v>368</v>
      </c>
      <c r="AB151" t="s">
        <v>224</v>
      </c>
      <c r="AC151">
        <v>350</v>
      </c>
      <c r="AD151" s="1">
        <v>1.10288879898947E-4</v>
      </c>
      <c r="AE151" s="1">
        <v>1.5486592500661701E-6</v>
      </c>
      <c r="AF151" s="1">
        <v>2.2505207506745698E-6</v>
      </c>
      <c r="AG151">
        <f t="shared" si="41"/>
        <v>1.1032270944137651E-4</v>
      </c>
      <c r="AI151" t="s">
        <v>368</v>
      </c>
      <c r="AJ151" t="s">
        <v>224</v>
      </c>
      <c r="AK151">
        <v>550</v>
      </c>
      <c r="AL151" s="1">
        <v>3.96953870279761E-5</v>
      </c>
      <c r="AM151" s="1">
        <v>1.4643865302928E-6</v>
      </c>
      <c r="AN151" s="1">
        <v>6.1526980048984296E-7</v>
      </c>
      <c r="AO151">
        <f t="shared" si="42"/>
        <v>3.9727153637509833E-5</v>
      </c>
      <c r="AQ151" t="s">
        <v>368</v>
      </c>
      <c r="AR151" t="s">
        <v>224</v>
      </c>
      <c r="AS151">
        <v>600</v>
      </c>
      <c r="AT151" s="1">
        <v>3.1921295409395399E-5</v>
      </c>
      <c r="AU151" s="1">
        <v>1.70215599010091E-6</v>
      </c>
      <c r="AV151" s="1">
        <v>7.2357110013142101E-7</v>
      </c>
      <c r="AW151">
        <f t="shared" si="52"/>
        <v>3.1974833709739126E-5</v>
      </c>
      <c r="AY151" t="s">
        <v>368</v>
      </c>
      <c r="AZ151" t="s">
        <v>224</v>
      </c>
      <c r="BA151">
        <v>800</v>
      </c>
      <c r="BB151">
        <v>1.2556783392057138E-5</v>
      </c>
      <c r="BD151">
        <f t="shared" si="53"/>
        <v>7.0595555803866673E-5</v>
      </c>
      <c r="BF151">
        <f t="shared" si="54"/>
        <v>7.8347875731637394E-5</v>
      </c>
      <c r="BH151">
        <f t="shared" si="45"/>
        <v>9.7765926049319377E-5</v>
      </c>
      <c r="BJ151">
        <f t="shared" si="46"/>
        <v>5.9316039427159198E-2</v>
      </c>
      <c r="BL151" s="1">
        <f t="shared" si="47"/>
        <v>6.8742512491308708E-2</v>
      </c>
      <c r="BN151">
        <f t="shared" si="48"/>
        <v>7.6884830750357971E-2</v>
      </c>
      <c r="BP151">
        <v>6.8403116931896912</v>
      </c>
      <c r="BQ151" s="10">
        <v>78.52</v>
      </c>
      <c r="BR151">
        <v>8.5399999999999991</v>
      </c>
      <c r="BT151" s="1">
        <v>2.4256999999999998E-7</v>
      </c>
      <c r="BV151" s="11">
        <f t="shared" si="49"/>
        <v>6.3950745577883756</v>
      </c>
    </row>
    <row r="152" spans="1:75" x14ac:dyDescent="0.25">
      <c r="A152" t="s">
        <v>152</v>
      </c>
      <c r="B152" t="s">
        <v>5</v>
      </c>
      <c r="C152" s="1">
        <v>3.3700000000000002E-3</v>
      </c>
      <c r="D152">
        <v>2.0222808904798563E-8</v>
      </c>
      <c r="F152" t="s">
        <v>152</v>
      </c>
      <c r="G152" t="s">
        <v>6</v>
      </c>
      <c r="H152" s="1">
        <v>2.0999999999999999E-3</v>
      </c>
      <c r="I152">
        <v>1.2622735202799748E-8</v>
      </c>
      <c r="K152" t="s">
        <v>152</v>
      </c>
      <c r="L152" t="s">
        <v>7</v>
      </c>
      <c r="M152" s="1">
        <v>1.98E-3</v>
      </c>
      <c r="N152">
        <v>1.1879303683297267E-8</v>
      </c>
      <c r="P152" t="s">
        <v>152</v>
      </c>
      <c r="Q152" t="s">
        <v>446</v>
      </c>
      <c r="R152">
        <v>9.0612306007517533E-9</v>
      </c>
      <c r="T152">
        <f t="shared" si="50"/>
        <v>7.6000737019988147E-9</v>
      </c>
      <c r="V152" s="1">
        <f t="shared" si="51"/>
        <v>8.3435052215012957E-9</v>
      </c>
      <c r="X152">
        <f t="shared" si="43"/>
        <v>1.116157830404681E-8</v>
      </c>
      <c r="AA152" t="s">
        <v>369</v>
      </c>
      <c r="AB152" t="s">
        <v>224</v>
      </c>
      <c r="AC152">
        <v>350</v>
      </c>
      <c r="AD152" s="1">
        <v>1.3105344613477499E-4</v>
      </c>
      <c r="AE152" s="1">
        <v>2.0850343900595502E-6</v>
      </c>
      <c r="AF152" s="1">
        <v>1.7259132001194701E-6</v>
      </c>
      <c r="AG152">
        <f t="shared" si="41"/>
        <v>1.3108139413579048E-4</v>
      </c>
      <c r="AI152" t="s">
        <v>369</v>
      </c>
      <c r="AJ152" t="s">
        <v>224</v>
      </c>
      <c r="AK152">
        <v>550</v>
      </c>
      <c r="AL152" s="1">
        <v>4.67934995245737E-5</v>
      </c>
      <c r="AM152" s="1">
        <v>1.8086317100397E-6</v>
      </c>
      <c r="AN152" s="1">
        <v>1.14222100696624E-7</v>
      </c>
      <c r="AO152">
        <f t="shared" si="42"/>
        <v>4.6828578807253245E-5</v>
      </c>
      <c r="AQ152" t="s">
        <v>369</v>
      </c>
      <c r="AR152" t="s">
        <v>224</v>
      </c>
      <c r="AS152">
        <v>600</v>
      </c>
      <c r="AT152" s="1">
        <v>3.7195834249494598E-5</v>
      </c>
      <c r="AU152" s="1">
        <v>1.0988018000413599E-6</v>
      </c>
      <c r="AV152" s="1">
        <v>-7.3282234932083805E-7</v>
      </c>
      <c r="AW152">
        <f t="shared" si="52"/>
        <v>3.721927564458118E-5</v>
      </c>
      <c r="AY152" t="s">
        <v>369</v>
      </c>
      <c r="AZ152" t="s">
        <v>224</v>
      </c>
      <c r="BA152">
        <v>800</v>
      </c>
      <c r="BB152">
        <v>1.561834855971967E-5</v>
      </c>
      <c r="BD152">
        <f t="shared" si="53"/>
        <v>8.4252815328537235E-5</v>
      </c>
      <c r="BF152">
        <f t="shared" si="54"/>
        <v>9.3862118491209307E-5</v>
      </c>
      <c r="BH152">
        <f t="shared" si="45"/>
        <v>1.1546304557607081E-4</v>
      </c>
      <c r="BJ152">
        <f t="shared" si="46"/>
        <v>9.0205575592494147E-2</v>
      </c>
      <c r="BL152" s="1">
        <f t="shared" si="47"/>
        <v>8.8891081467362257E-2</v>
      </c>
      <c r="BN152">
        <f t="shared" si="48"/>
        <v>9.6667970677191253E-2</v>
      </c>
      <c r="BP152">
        <v>8.8107278707938299</v>
      </c>
      <c r="BQ152" s="4">
        <v>78.539999999999992</v>
      </c>
      <c r="BR152">
        <v>9.48</v>
      </c>
      <c r="BT152" s="1">
        <v>2.6407000000000001E-7</v>
      </c>
      <c r="BV152" s="11">
        <f t="shared" si="49"/>
        <v>8.0781902161532742</v>
      </c>
    </row>
    <row r="153" spans="1:75" x14ac:dyDescent="0.25">
      <c r="A153" t="s">
        <v>153</v>
      </c>
      <c r="B153" t="s">
        <v>5</v>
      </c>
      <c r="C153" s="1">
        <v>0.11799999999999999</v>
      </c>
      <c r="D153">
        <v>7.0788352855536911E-7</v>
      </c>
      <c r="F153" t="s">
        <v>153</v>
      </c>
      <c r="G153" t="s">
        <v>6</v>
      </c>
      <c r="H153" s="1">
        <v>3.39E-2</v>
      </c>
      <c r="I153">
        <v>2.0342293381032532E-7</v>
      </c>
      <c r="K153" t="s">
        <v>153</v>
      </c>
      <c r="L153" t="s">
        <v>7</v>
      </c>
      <c r="M153" s="1">
        <v>2.6700000000000002E-2</v>
      </c>
      <c r="N153">
        <v>1.6038631487754807E-7</v>
      </c>
      <c r="P153" t="s">
        <v>153</v>
      </c>
      <c r="Q153" t="s">
        <v>446</v>
      </c>
      <c r="R153">
        <v>6.2362842302127305E-8</v>
      </c>
      <c r="T153">
        <f t="shared" si="50"/>
        <v>5.0446059474504382E-7</v>
      </c>
      <c r="V153" s="1">
        <f t="shared" si="51"/>
        <v>5.4749721367782107E-7</v>
      </c>
      <c r="X153">
        <f t="shared" si="43"/>
        <v>6.4552068625324175E-7</v>
      </c>
      <c r="AA153" t="s">
        <v>370</v>
      </c>
      <c r="AB153" t="s">
        <v>224</v>
      </c>
      <c r="AC153">
        <v>350</v>
      </c>
      <c r="AD153" s="1">
        <v>1.3236162162492799E-4</v>
      </c>
      <c r="AE153" s="1">
        <v>1.3344003000661699E-6</v>
      </c>
      <c r="AF153" s="1">
        <v>2.0197329006782399E-6</v>
      </c>
      <c r="AG153">
        <f t="shared" si="41"/>
        <v>1.3238375589297768E-4</v>
      </c>
      <c r="AI153" t="s">
        <v>370</v>
      </c>
      <c r="AJ153" t="s">
        <v>224</v>
      </c>
      <c r="AK153">
        <v>550</v>
      </c>
      <c r="AL153" s="1">
        <v>4.92562128858703E-5</v>
      </c>
      <c r="AM153" s="1">
        <v>3.4270083800281201E-6</v>
      </c>
      <c r="AN153" s="1">
        <v>1.54175165008731E-6</v>
      </c>
      <c r="AO153">
        <f t="shared" si="42"/>
        <v>4.9399351133850992E-5</v>
      </c>
      <c r="AQ153" t="s">
        <v>370</v>
      </c>
      <c r="AR153" t="s">
        <v>224</v>
      </c>
      <c r="AS153">
        <v>600</v>
      </c>
      <c r="AT153" s="1">
        <v>4.3411436884705897E-5</v>
      </c>
      <c r="AU153" s="1">
        <v>2.5820115400512802E-6</v>
      </c>
      <c r="AV153" s="1">
        <v>8.3520285013693603E-7</v>
      </c>
      <c r="AW153">
        <f t="shared" si="52"/>
        <v>4.349617454200586E-5</v>
      </c>
      <c r="AY153" t="s">
        <v>370</v>
      </c>
      <c r="AZ153" t="s">
        <v>224</v>
      </c>
      <c r="BA153">
        <v>800</v>
      </c>
      <c r="BB153">
        <v>2.3826092018860744E-5</v>
      </c>
      <c r="BD153">
        <f t="shared" si="53"/>
        <v>8.2984404759126691E-5</v>
      </c>
      <c r="BF153">
        <f t="shared" si="54"/>
        <v>8.8887581350971816E-5</v>
      </c>
      <c r="BH153">
        <f t="shared" si="45"/>
        <v>1.0855766387411693E-4</v>
      </c>
      <c r="BK153">
        <f>T153*1000/BD153</f>
        <v>6.0789806977504748</v>
      </c>
      <c r="BM153" s="1">
        <f>V153*1000/BF153</f>
        <v>6.1594342579311867</v>
      </c>
      <c r="BO153">
        <f>X153*1000/BH153</f>
        <v>5.9463391456340213</v>
      </c>
      <c r="BQ153" s="4">
        <v>78.559999999999988</v>
      </c>
      <c r="BR153">
        <v>8.91</v>
      </c>
      <c r="BT153" s="1">
        <v>2.6283999999999999E-7</v>
      </c>
      <c r="BW153" s="11">
        <f>D153*1000/BR153/BT153</f>
        <v>302.26832852586517</v>
      </c>
    </row>
    <row r="154" spans="1:75" x14ac:dyDescent="0.25">
      <c r="A154" t="s">
        <v>154</v>
      </c>
      <c r="B154" t="s">
        <v>5</v>
      </c>
      <c r="C154" s="1">
        <v>3.8300000000000001E-3</v>
      </c>
      <c r="D154">
        <v>2.2965776712316963E-8</v>
      </c>
      <c r="F154" t="s">
        <v>154</v>
      </c>
      <c r="G154" t="s">
        <v>6</v>
      </c>
      <c r="H154" s="1">
        <v>2.63E-3</v>
      </c>
      <c r="I154">
        <v>1.5819611246803759E-8</v>
      </c>
      <c r="K154" t="s">
        <v>154</v>
      </c>
      <c r="L154" t="s">
        <v>7</v>
      </c>
      <c r="M154" s="1">
        <v>2.2799999999999999E-3</v>
      </c>
      <c r="N154">
        <v>1.3694688751483183E-8</v>
      </c>
      <c r="P154" t="s">
        <v>154</v>
      </c>
      <c r="Q154" t="s">
        <v>446</v>
      </c>
      <c r="R154">
        <v>1.0076865832192071E-8</v>
      </c>
      <c r="T154">
        <f t="shared" si="50"/>
        <v>7.1461654655132038E-9</v>
      </c>
      <c r="V154" s="1">
        <f t="shared" si="51"/>
        <v>9.2710879608337795E-9</v>
      </c>
      <c r="X154">
        <f t="shared" si="43"/>
        <v>1.2888910880124892E-8</v>
      </c>
      <c r="AA154" t="s">
        <v>371</v>
      </c>
      <c r="AB154" t="s">
        <v>224</v>
      </c>
      <c r="AC154">
        <v>350</v>
      </c>
      <c r="AD154" s="1">
        <v>1.12298198550869E-4</v>
      </c>
      <c r="AE154" s="1">
        <v>2.2974430899933801E-6</v>
      </c>
      <c r="AF154" s="1">
        <v>2.4571320006083998E-6</v>
      </c>
      <c r="AG154">
        <f t="shared" ref="AG154:AG179" si="55">SQRT(AD154^2+AE154^2+AF154^2)</f>
        <v>1.1234856981818045E-4</v>
      </c>
      <c r="AI154" t="s">
        <v>371</v>
      </c>
      <c r="AJ154" t="s">
        <v>224</v>
      </c>
      <c r="AK154">
        <v>550</v>
      </c>
      <c r="AL154" s="1">
        <v>4.0549990924425401E-5</v>
      </c>
      <c r="AM154" s="1">
        <v>1.1573437100810601E-6</v>
      </c>
      <c r="AN154" s="1">
        <v>1.5862810074717099E-7</v>
      </c>
      <c r="AO154">
        <f t="shared" ref="AO154:AO185" si="56">SQRT(AL154^2+AM154^2+AN154^2)</f>
        <v>4.0566813669656057E-5</v>
      </c>
      <c r="AQ154" t="s">
        <v>371</v>
      </c>
      <c r="AR154" t="s">
        <v>224</v>
      </c>
      <c r="AS154">
        <v>600</v>
      </c>
      <c r="AT154" s="1">
        <v>3.2843165524472801E-5</v>
      </c>
      <c r="AU154" s="1">
        <v>1.4822476100727901E-6</v>
      </c>
      <c r="AV154" s="1">
        <v>6.6683010074441399E-7</v>
      </c>
      <c r="AW154">
        <f t="shared" si="52"/>
        <v>3.2883358131868836E-5</v>
      </c>
      <c r="AY154" t="s">
        <v>371</v>
      </c>
      <c r="AZ154" t="s">
        <v>224</v>
      </c>
      <c r="BA154">
        <v>800</v>
      </c>
      <c r="BB154">
        <v>1.3708098353979629E-5</v>
      </c>
      <c r="BD154">
        <f t="shared" si="53"/>
        <v>7.1781756148524392E-5</v>
      </c>
      <c r="BF154">
        <f t="shared" si="54"/>
        <v>7.9465211686311613E-5</v>
      </c>
      <c r="BH154">
        <f t="shared" si="45"/>
        <v>9.8640471464200814E-5</v>
      </c>
      <c r="BJ154">
        <f t="shared" si="46"/>
        <v>9.9554062883708175E-2</v>
      </c>
      <c r="BL154" s="1">
        <f t="shared" si="47"/>
        <v>0.11666851146677035</v>
      </c>
      <c r="BN154">
        <f t="shared" si="48"/>
        <v>0.13066554416056914</v>
      </c>
      <c r="BP154">
        <v>11.850387770088222</v>
      </c>
      <c r="BQ154" s="6">
        <v>78.579999999999984</v>
      </c>
      <c r="BR154">
        <v>7.81</v>
      </c>
      <c r="BT154" s="1">
        <v>2.6670999999999998E-7</v>
      </c>
      <c r="BV154" s="11">
        <f t="shared" si="49"/>
        <v>11.025309881534598</v>
      </c>
    </row>
    <row r="155" spans="1:75" x14ac:dyDescent="0.25">
      <c r="A155" t="s">
        <v>155</v>
      </c>
      <c r="B155" t="s">
        <v>5</v>
      </c>
      <c r="C155" s="1">
        <v>3.8500000000000001E-3</v>
      </c>
      <c r="D155">
        <v>2.3131340211928924E-8</v>
      </c>
      <c r="F155" t="s">
        <v>155</v>
      </c>
      <c r="G155" t="s">
        <v>6</v>
      </c>
      <c r="H155" s="1">
        <v>2.5200000000000001E-3</v>
      </c>
      <c r="I155">
        <v>1.508339779360075E-8</v>
      </c>
      <c r="K155" t="s">
        <v>155</v>
      </c>
      <c r="L155" t="s">
        <v>7</v>
      </c>
      <c r="M155" s="1">
        <v>2.5100000000000001E-3</v>
      </c>
      <c r="N155">
        <v>1.5059405167535668E-8</v>
      </c>
      <c r="P155" t="s">
        <v>155</v>
      </c>
      <c r="Q155" t="s">
        <v>446</v>
      </c>
      <c r="R155">
        <v>1.0264740620200786E-8</v>
      </c>
      <c r="T155">
        <f t="shared" si="50"/>
        <v>8.0479424183281735E-9</v>
      </c>
      <c r="V155" s="1">
        <f t="shared" si="51"/>
        <v>8.0719350443932551E-9</v>
      </c>
      <c r="X155">
        <f t="shared" si="43"/>
        <v>1.2866599591728138E-8</v>
      </c>
      <c r="AA155" t="s">
        <v>372</v>
      </c>
      <c r="AB155" t="s">
        <v>224</v>
      </c>
      <c r="AC155">
        <v>350</v>
      </c>
      <c r="AD155" s="1">
        <v>1.20972799635382E-4</v>
      </c>
      <c r="AE155" s="1">
        <v>3.2112445600645199E-6</v>
      </c>
      <c r="AF155" s="1">
        <v>3.53693790014245E-6</v>
      </c>
      <c r="AG155">
        <f t="shared" si="55"/>
        <v>1.210670899664987E-4</v>
      </c>
      <c r="AI155" t="s">
        <v>372</v>
      </c>
      <c r="AJ155" t="s">
        <v>224</v>
      </c>
      <c r="AK155">
        <v>550</v>
      </c>
      <c r="AL155" s="1">
        <v>4.3471184851813602E-5</v>
      </c>
      <c r="AM155" s="1">
        <v>3.59520843996857E-6</v>
      </c>
      <c r="AN155" s="1">
        <v>1.8426023005302799E-6</v>
      </c>
      <c r="AO155">
        <f t="shared" si="56"/>
        <v>4.3658499967191828E-5</v>
      </c>
      <c r="AQ155" t="s">
        <v>372</v>
      </c>
      <c r="AR155" t="s">
        <v>224</v>
      </c>
      <c r="AS155">
        <v>600</v>
      </c>
      <c r="AT155" s="1">
        <v>3.5341878024887997E-5</v>
      </c>
      <c r="AU155" s="1">
        <v>2.8875988300446699E-6</v>
      </c>
      <c r="AV155" s="1">
        <v>1.6808904506423999E-6</v>
      </c>
      <c r="AW155">
        <f t="shared" si="52"/>
        <v>3.5499464249991118E-5</v>
      </c>
      <c r="AY155" t="s">
        <v>372</v>
      </c>
      <c r="AZ155" t="s">
        <v>224</v>
      </c>
      <c r="BA155">
        <v>800</v>
      </c>
      <c r="BB155">
        <v>1.4079700770545047E-5</v>
      </c>
      <c r="BD155">
        <f t="shared" si="53"/>
        <v>7.7408589999306872E-5</v>
      </c>
      <c r="BF155">
        <f t="shared" si="54"/>
        <v>8.5567625716507581E-5</v>
      </c>
      <c r="BH155">
        <f t="shared" si="45"/>
        <v>1.0698738919595365E-4</v>
      </c>
      <c r="BJ155">
        <f t="shared" si="46"/>
        <v>0.10396704575551932</v>
      </c>
      <c r="BL155" s="1">
        <f t="shared" si="47"/>
        <v>9.4333984106748786E-2</v>
      </c>
      <c r="BN155">
        <f t="shared" si="48"/>
        <v>0.12026276824235994</v>
      </c>
      <c r="BP155">
        <v>11.097581048451817</v>
      </c>
      <c r="BQ155" s="4">
        <v>78.59999999999998</v>
      </c>
      <c r="BR155">
        <v>8.65</v>
      </c>
      <c r="BT155" s="1">
        <v>2.6319000000000002E-7</v>
      </c>
      <c r="BV155" s="11">
        <f t="shared" si="49"/>
        <v>10.160505251345452</v>
      </c>
    </row>
    <row r="156" spans="1:75" x14ac:dyDescent="0.25">
      <c r="A156" t="s">
        <v>156</v>
      </c>
      <c r="B156" t="s">
        <v>5</v>
      </c>
      <c r="C156" s="1">
        <v>2.8E-3</v>
      </c>
      <c r="D156">
        <v>1.682443461159988E-8</v>
      </c>
      <c r="F156" t="s">
        <v>156</v>
      </c>
      <c r="G156" t="s">
        <v>6</v>
      </c>
      <c r="H156" s="1">
        <v>1.9499999999999999E-3</v>
      </c>
      <c r="I156">
        <v>1.1696584971691522E-8</v>
      </c>
      <c r="K156" t="s">
        <v>156</v>
      </c>
      <c r="L156" t="s">
        <v>7</v>
      </c>
      <c r="M156" s="1">
        <v>1.9300000000000001E-3</v>
      </c>
      <c r="N156">
        <v>1.1578268437033234E-8</v>
      </c>
      <c r="P156" t="s">
        <v>156</v>
      </c>
      <c r="Q156" t="s">
        <v>446</v>
      </c>
      <c r="R156">
        <v>7.8586894581730363E-9</v>
      </c>
      <c r="T156">
        <f t="shared" si="50"/>
        <v>5.1278496399083574E-9</v>
      </c>
      <c r="V156" s="1">
        <f t="shared" si="51"/>
        <v>5.2461661745666458E-9</v>
      </c>
      <c r="X156">
        <f t="shared" si="43"/>
        <v>8.9657451534268435E-9</v>
      </c>
      <c r="AA156" t="s">
        <v>373</v>
      </c>
      <c r="AB156" t="s">
        <v>224</v>
      </c>
      <c r="AC156">
        <v>350</v>
      </c>
      <c r="AD156" s="1">
        <v>1.4052369917471201E-4</v>
      </c>
      <c r="AE156" s="1">
        <v>8.3029352003804799E-7</v>
      </c>
      <c r="AF156" s="1">
        <v>3.6696625007085699E-6</v>
      </c>
      <c r="AG156">
        <f t="shared" si="55"/>
        <v>1.4057405820400675E-4</v>
      </c>
      <c r="AI156" t="s">
        <v>373</v>
      </c>
      <c r="AJ156" t="s">
        <v>224</v>
      </c>
      <c r="AK156">
        <v>550</v>
      </c>
      <c r="AL156" s="1">
        <v>4.85919091607477E-5</v>
      </c>
      <c r="AM156" s="1">
        <v>2.15899505010753E-6</v>
      </c>
      <c r="AN156" s="1">
        <v>1.75058320016451E-6</v>
      </c>
      <c r="AO156">
        <f t="shared" si="56"/>
        <v>4.8671341023783623E-5</v>
      </c>
      <c r="AQ156" t="s">
        <v>373</v>
      </c>
      <c r="AR156" t="s">
        <v>224</v>
      </c>
      <c r="AS156">
        <v>600</v>
      </c>
      <c r="AT156" s="1">
        <v>3.8919238286166899E-5</v>
      </c>
      <c r="AU156" s="1">
        <v>1.9278618200463202E-6</v>
      </c>
      <c r="AV156" s="1">
        <v>1.3133074501176401E-6</v>
      </c>
      <c r="AW156">
        <f t="shared" si="52"/>
        <v>3.8989082272235725E-5</v>
      </c>
      <c r="AY156" t="s">
        <v>373</v>
      </c>
      <c r="AZ156" t="s">
        <v>224</v>
      </c>
      <c r="BA156">
        <v>800</v>
      </c>
      <c r="BB156">
        <v>1.4928812544438112E-5</v>
      </c>
      <c r="BD156">
        <f t="shared" si="53"/>
        <v>9.1902717180223129E-5</v>
      </c>
      <c r="BF156">
        <f t="shared" si="54"/>
        <v>1.0158497593177102E-4</v>
      </c>
      <c r="BH156">
        <f t="shared" si="45"/>
        <v>1.2564524565956864E-4</v>
      </c>
      <c r="BJ156">
        <f t="shared" si="46"/>
        <v>5.5796496526349035E-2</v>
      </c>
      <c r="BL156" s="1">
        <f t="shared" si="47"/>
        <v>5.1643130555941698E-2</v>
      </c>
      <c r="BN156">
        <f t="shared" si="48"/>
        <v>7.1357615692990192E-2</v>
      </c>
      <c r="BP156">
        <v>6.9438721018244509</v>
      </c>
      <c r="BQ156" s="4">
        <v>78.619999999999976</v>
      </c>
      <c r="BR156">
        <v>10.210000000000001</v>
      </c>
      <c r="BT156" s="1">
        <v>2.6086000000000002E-7</v>
      </c>
      <c r="BV156" s="11">
        <f t="shared" si="49"/>
        <v>6.3169471954552332</v>
      </c>
    </row>
    <row r="157" spans="1:75" x14ac:dyDescent="0.25">
      <c r="A157" t="s">
        <v>157</v>
      </c>
      <c r="B157" t="s">
        <v>5</v>
      </c>
      <c r="C157" s="1">
        <v>2.7499999999999998E-3</v>
      </c>
      <c r="D157">
        <v>1.6511608929477467E-8</v>
      </c>
      <c r="F157" t="s">
        <v>157</v>
      </c>
      <c r="G157" t="s">
        <v>6</v>
      </c>
      <c r="H157" s="1">
        <v>1.9E-3</v>
      </c>
      <c r="I157">
        <v>1.1392603258254892E-8</v>
      </c>
      <c r="K157" t="s">
        <v>157</v>
      </c>
      <c r="L157" t="s">
        <v>7</v>
      </c>
      <c r="M157" s="1">
        <v>1.7700000000000001E-3</v>
      </c>
      <c r="N157">
        <v>1.0625657626707159E-8</v>
      </c>
      <c r="P157" t="s">
        <v>157</v>
      </c>
      <c r="Q157" t="s">
        <v>446</v>
      </c>
      <c r="R157">
        <v>7.1380028019047455E-9</v>
      </c>
      <c r="T157">
        <f t="shared" si="50"/>
        <v>5.1190056712225746E-9</v>
      </c>
      <c r="V157" s="1">
        <f t="shared" si="51"/>
        <v>5.8859513027703072E-9</v>
      </c>
      <c r="X157">
        <f t="shared" si="43"/>
        <v>9.373606127572721E-9</v>
      </c>
      <c r="AA157" t="s">
        <v>374</v>
      </c>
      <c r="AB157" t="s">
        <v>224</v>
      </c>
      <c r="AC157">
        <v>350</v>
      </c>
      <c r="AD157" s="1">
        <v>1.37235747335501E-4</v>
      </c>
      <c r="AE157" s="1">
        <v>2.4085074300363902E-6</v>
      </c>
      <c r="AF157" s="1">
        <v>1.2072264500606599E-6</v>
      </c>
      <c r="AG157">
        <f t="shared" si="55"/>
        <v>1.3726218944223401E-4</v>
      </c>
      <c r="AI157" t="s">
        <v>374</v>
      </c>
      <c r="AJ157" t="s">
        <v>224</v>
      </c>
      <c r="AK157">
        <v>550</v>
      </c>
      <c r="AL157" s="1">
        <v>4.8120824450299202E-5</v>
      </c>
      <c r="AM157" s="1">
        <v>2.5058059100314298E-6</v>
      </c>
      <c r="AN157" s="1">
        <v>-3.33785099363113E-7</v>
      </c>
      <c r="AO157">
        <f t="shared" si="56"/>
        <v>4.8187179016080806E-5</v>
      </c>
      <c r="AQ157" t="s">
        <v>374</v>
      </c>
      <c r="AR157" t="s">
        <v>224</v>
      </c>
      <c r="AS157">
        <v>600</v>
      </c>
      <c r="AT157" s="1">
        <v>4.0900606725461299E-5</v>
      </c>
      <c r="AU157" s="1">
        <v>2.3265783600479702E-6</v>
      </c>
      <c r="AV157" s="1">
        <v>-8.8663979934289404E-7</v>
      </c>
      <c r="AW157">
        <f t="shared" si="52"/>
        <v>4.097631910640672E-5</v>
      </c>
      <c r="AY157" t="s">
        <v>374</v>
      </c>
      <c r="AZ157" t="s">
        <v>224</v>
      </c>
      <c r="BA157">
        <v>800</v>
      </c>
      <c r="BB157">
        <v>1.5886992870124787E-5</v>
      </c>
      <c r="BD157">
        <f t="shared" si="53"/>
        <v>8.9075010426153197E-5</v>
      </c>
      <c r="BF157">
        <f t="shared" si="54"/>
        <v>9.6285870335827297E-5</v>
      </c>
      <c r="BH157">
        <f t="shared" si="45"/>
        <v>1.2137519657210923E-4</v>
      </c>
      <c r="BJ157">
        <f t="shared" si="46"/>
        <v>5.7468482425454645E-2</v>
      </c>
      <c r="BL157" s="1">
        <f t="shared" si="47"/>
        <v>6.1129958967408179E-2</v>
      </c>
      <c r="BN157">
        <f t="shared" si="48"/>
        <v>7.7228349714794031E-2</v>
      </c>
      <c r="BP157">
        <v>7.4622222397732498</v>
      </c>
      <c r="BQ157" s="10">
        <v>78.66</v>
      </c>
      <c r="BR157">
        <v>10.28</v>
      </c>
      <c r="BT157" s="1">
        <v>2.5204999999999998E-7</v>
      </c>
      <c r="BV157" s="11">
        <f t="shared" si="49"/>
        <v>6.3724960882929125</v>
      </c>
    </row>
    <row r="158" spans="1:75" x14ac:dyDescent="0.25">
      <c r="A158" t="s">
        <v>158</v>
      </c>
      <c r="B158" t="s">
        <v>5</v>
      </c>
      <c r="C158" s="1">
        <v>3.8999999999999998E-3</v>
      </c>
      <c r="D158">
        <v>2.3415417912136438E-8</v>
      </c>
      <c r="F158" t="s">
        <v>158</v>
      </c>
      <c r="G158" t="s">
        <v>6</v>
      </c>
      <c r="H158" s="1">
        <v>2.6199999999999999E-3</v>
      </c>
      <c r="I158">
        <v>1.5735393226735709E-8</v>
      </c>
      <c r="K158" t="s">
        <v>158</v>
      </c>
      <c r="L158" t="s">
        <v>7</v>
      </c>
      <c r="M158" s="1">
        <v>2.16E-3</v>
      </c>
      <c r="N158">
        <v>1.2974282253751073E-8</v>
      </c>
      <c r="P158" t="s">
        <v>158</v>
      </c>
      <c r="Q158" t="s">
        <v>446</v>
      </c>
      <c r="R158">
        <v>1.0084740345690612E-8</v>
      </c>
      <c r="T158">
        <f t="shared" si="50"/>
        <v>7.6800246854007283E-9</v>
      </c>
      <c r="V158" s="1">
        <f t="shared" si="51"/>
        <v>1.0441135658385365E-8</v>
      </c>
      <c r="X158">
        <f t="shared" si="43"/>
        <v>1.3330677566445826E-8</v>
      </c>
      <c r="AA158" t="s">
        <v>375</v>
      </c>
      <c r="AB158" t="s">
        <v>224</v>
      </c>
      <c r="AC158">
        <v>350</v>
      </c>
      <c r="AD158" s="1">
        <v>1.3635226450037401E-4</v>
      </c>
      <c r="AE158" s="1">
        <v>2.91666009002647E-6</v>
      </c>
      <c r="AF158" s="1">
        <v>2.59072005064332E-6</v>
      </c>
      <c r="AG158">
        <f t="shared" si="55"/>
        <v>1.3640805977229321E-4</v>
      </c>
      <c r="AI158" t="s">
        <v>375</v>
      </c>
      <c r="AJ158" t="s">
        <v>224</v>
      </c>
      <c r="AK158">
        <v>550</v>
      </c>
      <c r="AL158" s="1">
        <v>4.8551089487687202E-5</v>
      </c>
      <c r="AM158" s="1">
        <v>2.79755333006121E-6</v>
      </c>
      <c r="AN158" s="1">
        <v>4.7822794998805301E-7</v>
      </c>
      <c r="AO158">
        <f t="shared" si="56"/>
        <v>4.8633972663644262E-5</v>
      </c>
      <c r="AQ158" t="s">
        <v>375</v>
      </c>
      <c r="AR158" t="s">
        <v>224</v>
      </c>
      <c r="AS158">
        <v>600</v>
      </c>
      <c r="AT158" s="1">
        <v>4.03746388120961E-5</v>
      </c>
      <c r="AU158" s="1">
        <v>2.9140697400347399E-6</v>
      </c>
      <c r="AV158" s="1">
        <v>9.1254330003032801E-7</v>
      </c>
      <c r="AW158">
        <f t="shared" si="52"/>
        <v>4.0489949332290267E-5</v>
      </c>
      <c r="AY158" t="s">
        <v>375</v>
      </c>
      <c r="AZ158" t="s">
        <v>224</v>
      </c>
      <c r="BA158">
        <v>800</v>
      </c>
      <c r="BB158">
        <v>1.6865308217567803E-5</v>
      </c>
      <c r="BD158">
        <f t="shared" si="53"/>
        <v>8.7774087108648952E-5</v>
      </c>
      <c r="BF158">
        <f t="shared" si="54"/>
        <v>9.591811044000294E-5</v>
      </c>
      <c r="BH158">
        <f t="shared" si="45"/>
        <v>1.195427515547254E-4</v>
      </c>
      <c r="BJ158">
        <f t="shared" si="46"/>
        <v>8.7497631002350404E-2</v>
      </c>
      <c r="BL158" s="1">
        <f t="shared" si="47"/>
        <v>0.10885468458968785</v>
      </c>
      <c r="BN158">
        <f t="shared" si="48"/>
        <v>0.11151389267080057</v>
      </c>
      <c r="BP158">
        <v>10.128100334142747</v>
      </c>
      <c r="BQ158" s="4">
        <v>78.679999999999993</v>
      </c>
      <c r="BR158">
        <v>9.92</v>
      </c>
      <c r="BT158" s="1">
        <v>2.6232999999999999E-7</v>
      </c>
      <c r="BV158" s="11">
        <f t="shared" si="49"/>
        <v>8.9979231988552169</v>
      </c>
    </row>
    <row r="159" spans="1:75" x14ac:dyDescent="0.25">
      <c r="A159" t="s">
        <v>159</v>
      </c>
      <c r="B159" t="s">
        <v>5</v>
      </c>
      <c r="C159" s="1">
        <v>3.2799999999999999E-3</v>
      </c>
      <c r="D159">
        <v>1.9623264254450634E-8</v>
      </c>
      <c r="F159" t="s">
        <v>159</v>
      </c>
      <c r="G159" t="s">
        <v>6</v>
      </c>
      <c r="H159" s="1">
        <v>2.3700000000000001E-3</v>
      </c>
      <c r="I159">
        <v>1.4183363529149212E-8</v>
      </c>
      <c r="K159" t="s">
        <v>159</v>
      </c>
      <c r="L159" t="s">
        <v>7</v>
      </c>
      <c r="M159" s="1">
        <v>2.2000000000000001E-3</v>
      </c>
      <c r="N159">
        <v>1.3215475814362493E-8</v>
      </c>
      <c r="P159" t="s">
        <v>159</v>
      </c>
      <c r="Q159" t="s">
        <v>446</v>
      </c>
      <c r="R159">
        <v>9.2394263891217836E-9</v>
      </c>
      <c r="T159">
        <f t="shared" si="50"/>
        <v>5.4399007253014226E-9</v>
      </c>
      <c r="V159" s="1">
        <f t="shared" si="51"/>
        <v>6.407788440088141E-9</v>
      </c>
      <c r="X159">
        <f t="shared" si="43"/>
        <v>1.0383837865328851E-8</v>
      </c>
      <c r="AA159" t="s">
        <v>376</v>
      </c>
      <c r="AB159" t="s">
        <v>224</v>
      </c>
      <c r="AC159">
        <v>350</v>
      </c>
      <c r="AD159" s="1">
        <v>1.4092579288728799E-4</v>
      </c>
      <c r="AE159" s="1">
        <v>2.08463967005459E-6</v>
      </c>
      <c r="AF159" s="1">
        <v>3.8763971000211402E-6</v>
      </c>
      <c r="AG159">
        <f t="shared" si="55"/>
        <v>1.4099450797084903E-4</v>
      </c>
      <c r="AI159" t="s">
        <v>376</v>
      </c>
      <c r="AJ159" t="s">
        <v>224</v>
      </c>
      <c r="AK159">
        <v>550</v>
      </c>
      <c r="AL159" s="1">
        <v>5.12614628255424E-5</v>
      </c>
      <c r="AM159" s="1">
        <v>1.84462524002647E-6</v>
      </c>
      <c r="AN159" s="1">
        <v>4.3599291006819196E-6</v>
      </c>
      <c r="AO159">
        <f t="shared" si="56"/>
        <v>5.1479599795002103E-5</v>
      </c>
      <c r="AQ159" t="s">
        <v>376</v>
      </c>
      <c r="AR159" t="s">
        <v>224</v>
      </c>
      <c r="AS159">
        <v>600</v>
      </c>
      <c r="AT159" s="1">
        <v>4.2865611925411903E-5</v>
      </c>
      <c r="AU159" s="1">
        <v>3.3520115800860199E-6</v>
      </c>
      <c r="AV159" s="1">
        <v>4.0238003507021396E-6</v>
      </c>
      <c r="AW159">
        <f t="shared" si="52"/>
        <v>4.3184344809610767E-5</v>
      </c>
      <c r="AY159" t="s">
        <v>376</v>
      </c>
      <c r="AZ159" t="s">
        <v>224</v>
      </c>
      <c r="BA159">
        <v>800</v>
      </c>
      <c r="BB159">
        <v>1.6842386966732182E-5</v>
      </c>
      <c r="BD159">
        <f t="shared" si="53"/>
        <v>8.9514908175846928E-5</v>
      </c>
      <c r="BF159">
        <f t="shared" si="54"/>
        <v>9.7810163161238264E-5</v>
      </c>
      <c r="BH159">
        <f t="shared" si="45"/>
        <v>1.2415212100411684E-4</v>
      </c>
      <c r="BJ159">
        <f t="shared" si="46"/>
        <v>6.0770890973993387E-2</v>
      </c>
      <c r="BL159" s="1">
        <f t="shared" si="47"/>
        <v>6.5512501288082087E-2</v>
      </c>
      <c r="BN159">
        <f t="shared" si="48"/>
        <v>8.3638022301564433E-2</v>
      </c>
      <c r="BP159">
        <v>7.8573252962886553</v>
      </c>
      <c r="BQ159" s="4">
        <v>78.699999999999989</v>
      </c>
      <c r="BR159">
        <v>10.18</v>
      </c>
      <c r="BT159" s="1">
        <v>2.6440000000000001E-7</v>
      </c>
      <c r="BV159" s="11">
        <f t="shared" si="49"/>
        <v>7.2905790530104984</v>
      </c>
    </row>
    <row r="160" spans="1:75" x14ac:dyDescent="0.25">
      <c r="A160" t="s">
        <v>160</v>
      </c>
      <c r="B160" t="s">
        <v>5</v>
      </c>
      <c r="C160" s="1">
        <v>5.8199999999999997E-3</v>
      </c>
      <c r="D160">
        <v>3.4882862554555354E-8</v>
      </c>
      <c r="F160" t="s">
        <v>160</v>
      </c>
      <c r="G160" t="s">
        <v>6</v>
      </c>
      <c r="H160" s="1">
        <v>3.8800000000000002E-3</v>
      </c>
      <c r="I160">
        <v>2.3256947349125594E-8</v>
      </c>
      <c r="K160" t="s">
        <v>160</v>
      </c>
      <c r="L160" t="s">
        <v>7</v>
      </c>
      <c r="M160" s="1">
        <v>3.46E-3</v>
      </c>
      <c r="N160">
        <v>2.0720555011871664E-8</v>
      </c>
      <c r="P160" t="s">
        <v>160</v>
      </c>
      <c r="Q160" t="s">
        <v>446</v>
      </c>
      <c r="R160">
        <v>1.496188895159966E-8</v>
      </c>
      <c r="T160">
        <f t="shared" si="50"/>
        <v>1.162591520542976E-8</v>
      </c>
      <c r="V160" s="1">
        <f t="shared" si="51"/>
        <v>1.4162307542683689E-8</v>
      </c>
      <c r="X160">
        <f t="shared" si="43"/>
        <v>1.9920973602955693E-8</v>
      </c>
      <c r="AA160" t="s">
        <v>377</v>
      </c>
      <c r="AB160" t="s">
        <v>224</v>
      </c>
      <c r="AC160">
        <v>350</v>
      </c>
      <c r="AD160" s="1">
        <v>1.47458709876501E-4</v>
      </c>
      <c r="AE160" s="1">
        <v>5.5060726300281204E-6</v>
      </c>
      <c r="AF160" s="1">
        <v>4.0759774006589397E-6</v>
      </c>
      <c r="AG160">
        <f t="shared" si="55"/>
        <v>1.4761775484683381E-4</v>
      </c>
      <c r="AI160" t="s">
        <v>377</v>
      </c>
      <c r="AJ160" t="s">
        <v>224</v>
      </c>
      <c r="AK160">
        <v>550</v>
      </c>
      <c r="AL160" s="1">
        <v>4.7872103052193201E-5</v>
      </c>
      <c r="AM160" s="1">
        <v>4.2664298000413598E-6</v>
      </c>
      <c r="AN160" s="1">
        <v>2.5965175006277001E-6</v>
      </c>
      <c r="AO160">
        <f t="shared" si="56"/>
        <v>4.8131928872730134E-5</v>
      </c>
      <c r="AQ160" t="s">
        <v>377</v>
      </c>
      <c r="AR160" t="s">
        <v>224</v>
      </c>
      <c r="AS160">
        <v>600</v>
      </c>
      <c r="AT160" s="1">
        <v>3.8979384277305899E-5</v>
      </c>
      <c r="AU160" s="1">
        <v>4.0567841400761003E-6</v>
      </c>
      <c r="AV160" s="1">
        <v>1.28284000065435E-6</v>
      </c>
      <c r="AW160">
        <f t="shared" si="52"/>
        <v>3.9210911423535336E-5</v>
      </c>
      <c r="AY160" t="s">
        <v>377</v>
      </c>
      <c r="AZ160" t="s">
        <v>224</v>
      </c>
      <c r="BA160">
        <v>800</v>
      </c>
      <c r="BB160">
        <v>1.5454740395742222E-5</v>
      </c>
      <c r="BD160">
        <f t="shared" si="53"/>
        <v>9.9485825974103675E-5</v>
      </c>
      <c r="BF160">
        <f t="shared" si="54"/>
        <v>1.0840684342329848E-4</v>
      </c>
      <c r="BH160">
        <f t="shared" si="45"/>
        <v>1.3216301445109158E-4</v>
      </c>
      <c r="BJ160">
        <f t="shared" si="46"/>
        <v>0.11686001590272774</v>
      </c>
      <c r="BL160" s="1">
        <f t="shared" si="47"/>
        <v>0.13064034608390754</v>
      </c>
      <c r="BN160">
        <f t="shared" si="48"/>
        <v>0.15073032107880435</v>
      </c>
      <c r="BP160">
        <v>13.471984964141152</v>
      </c>
      <c r="BQ160" s="4">
        <v>78.719999999999985</v>
      </c>
      <c r="BR160">
        <v>11.08</v>
      </c>
      <c r="BT160" s="1">
        <v>2.6246999999999999E-7</v>
      </c>
      <c r="BV160" s="11">
        <f t="shared" si="49"/>
        <v>11.994790999856869</v>
      </c>
    </row>
    <row r="161" spans="1:74" x14ac:dyDescent="0.25">
      <c r="A161" t="s">
        <v>161</v>
      </c>
      <c r="B161" t="s">
        <v>5</v>
      </c>
      <c r="C161" s="1">
        <v>3.7100000000000002E-3</v>
      </c>
      <c r="D161">
        <v>2.2299520712338192E-8</v>
      </c>
      <c r="F161" t="s">
        <v>161</v>
      </c>
      <c r="G161" t="s">
        <v>6</v>
      </c>
      <c r="H161" s="1">
        <v>2.33E-3</v>
      </c>
      <c r="I161">
        <v>1.3984709507172467E-8</v>
      </c>
      <c r="K161" t="s">
        <v>161</v>
      </c>
      <c r="L161" t="s">
        <v>7</v>
      </c>
      <c r="M161" s="1">
        <v>2.16E-3</v>
      </c>
      <c r="N161">
        <v>1.2930906426078568E-8</v>
      </c>
      <c r="P161" t="s">
        <v>161</v>
      </c>
      <c r="Q161" t="s">
        <v>446</v>
      </c>
      <c r="R161">
        <v>8.1543914549155651E-9</v>
      </c>
      <c r="T161">
        <f t="shared" si="50"/>
        <v>8.3148112051657244E-9</v>
      </c>
      <c r="V161" s="1">
        <f t="shared" si="51"/>
        <v>9.368614286259624E-9</v>
      </c>
      <c r="X161">
        <f t="shared" si="43"/>
        <v>1.4145129257422627E-8</v>
      </c>
      <c r="AA161" t="s">
        <v>378</v>
      </c>
      <c r="AB161" t="s">
        <v>224</v>
      </c>
      <c r="AC161">
        <v>350</v>
      </c>
      <c r="AD161" s="1">
        <v>1.3059784017627199E-4</v>
      </c>
      <c r="AE161" s="1">
        <v>1.0787697600314299E-6</v>
      </c>
      <c r="AF161" s="1">
        <v>4.3120693006901902E-6</v>
      </c>
      <c r="AG161">
        <f t="shared" si="55"/>
        <v>1.3067346151593364E-4</v>
      </c>
      <c r="AI161" t="s">
        <v>378</v>
      </c>
      <c r="AJ161" t="s">
        <v>224</v>
      </c>
      <c r="AK161">
        <v>550</v>
      </c>
      <c r="AL161" s="1">
        <v>4.4577782802003398E-5</v>
      </c>
      <c r="AM161" s="1">
        <v>6.5311358006120699E-7</v>
      </c>
      <c r="AN161" s="1">
        <v>2.69803455069019E-6</v>
      </c>
      <c r="AO161">
        <f t="shared" si="56"/>
        <v>4.4664131776267278E-5</v>
      </c>
      <c r="AQ161" t="s">
        <v>378</v>
      </c>
      <c r="AR161" t="s">
        <v>224</v>
      </c>
      <c r="AS161">
        <v>600</v>
      </c>
      <c r="AT161" s="1">
        <v>3.6137087759162198E-5</v>
      </c>
      <c r="AU161" s="1">
        <v>1.14898058015219E-6</v>
      </c>
      <c r="AV161" s="1">
        <v>2.2705034502959302E-6</v>
      </c>
      <c r="AW161">
        <f t="shared" si="52"/>
        <v>3.6226571104712114E-5</v>
      </c>
      <c r="AY161" t="s">
        <v>378</v>
      </c>
      <c r="AZ161" t="s">
        <v>224</v>
      </c>
      <c r="BA161">
        <v>800</v>
      </c>
      <c r="BB161">
        <v>1.2136169972152474E-5</v>
      </c>
      <c r="BD161">
        <f t="shared" si="53"/>
        <v>8.6009329739666354E-5</v>
      </c>
      <c r="BF161">
        <f t="shared" si="54"/>
        <v>9.4446890411221517E-5</v>
      </c>
      <c r="BH161">
        <f t="shared" si="45"/>
        <v>1.1853729154378116E-4</v>
      </c>
      <c r="BJ161">
        <f t="shared" si="46"/>
        <v>9.6673363579661109E-2</v>
      </c>
      <c r="BL161" s="1">
        <f t="shared" si="47"/>
        <v>9.9194523456184749E-2</v>
      </c>
      <c r="BN161">
        <f t="shared" si="48"/>
        <v>0.11933062644845562</v>
      </c>
      <c r="BP161">
        <v>9.7418291644864645</v>
      </c>
      <c r="BQ161" s="4">
        <v>78.739999999999981</v>
      </c>
      <c r="BR161">
        <v>10.31</v>
      </c>
      <c r="BT161" s="1">
        <v>2.5106999999999998E-7</v>
      </c>
      <c r="BV161" s="11">
        <f t="shared" si="49"/>
        <v>8.6147373479483331</v>
      </c>
    </row>
    <row r="162" spans="1:74" x14ac:dyDescent="0.25">
      <c r="A162" t="s">
        <v>162</v>
      </c>
      <c r="B162" t="s">
        <v>5</v>
      </c>
      <c r="C162" s="1">
        <v>3.5899999999999999E-3</v>
      </c>
      <c r="D162">
        <v>2.1539740017001135E-8</v>
      </c>
      <c r="F162" t="s">
        <v>162</v>
      </c>
      <c r="G162" t="s">
        <v>6</v>
      </c>
      <c r="H162" s="1">
        <v>2.32E-3</v>
      </c>
      <c r="I162">
        <v>1.3919349841138414E-8</v>
      </c>
      <c r="K162" t="s">
        <v>162</v>
      </c>
      <c r="L162" t="s">
        <v>7</v>
      </c>
      <c r="M162" s="1">
        <v>1.91E-3</v>
      </c>
      <c r="N162">
        <v>1.1460165792867047E-8</v>
      </c>
      <c r="P162" t="s">
        <v>162</v>
      </c>
      <c r="Q162" t="s">
        <v>446</v>
      </c>
      <c r="R162">
        <v>8.2776627135925277E-9</v>
      </c>
      <c r="T162">
        <f t="shared" si="50"/>
        <v>7.6203901758627209E-9</v>
      </c>
      <c r="V162" s="1">
        <f t="shared" si="51"/>
        <v>1.0079574224134088E-8</v>
      </c>
      <c r="X162">
        <f t="shared" si="43"/>
        <v>1.3262077303408608E-8</v>
      </c>
      <c r="AA162" t="s">
        <v>379</v>
      </c>
      <c r="AB162" t="s">
        <v>224</v>
      </c>
      <c r="AC162">
        <v>350</v>
      </c>
      <c r="AD162" s="1">
        <v>1.3835764712679001E-4</v>
      </c>
      <c r="AE162" s="1">
        <v>9.3637452000496303E-7</v>
      </c>
      <c r="AF162" s="1">
        <v>3.0814063506644599E-6</v>
      </c>
      <c r="AG162">
        <f t="shared" si="55"/>
        <v>1.3839512412220663E-4</v>
      </c>
      <c r="AI162" t="s">
        <v>379</v>
      </c>
      <c r="AJ162" t="s">
        <v>224</v>
      </c>
      <c r="AK162">
        <v>550</v>
      </c>
      <c r="AL162" s="1">
        <v>4.79863804630707E-5</v>
      </c>
      <c r="AM162" s="1">
        <v>2.8802225004962799E-7</v>
      </c>
      <c r="AN162" s="1">
        <v>2.3995275500882302E-6</v>
      </c>
      <c r="AO162">
        <f t="shared" si="56"/>
        <v>4.8047199702237896E-5</v>
      </c>
      <c r="AQ162" t="s">
        <v>379</v>
      </c>
      <c r="AR162" t="s">
        <v>224</v>
      </c>
      <c r="AS162">
        <v>600</v>
      </c>
      <c r="AT162" s="1">
        <v>3.8439220137556698E-5</v>
      </c>
      <c r="AU162" s="1">
        <v>7.4708161003143096E-7</v>
      </c>
      <c r="AV162" s="1">
        <v>2.3102221501020099E-6</v>
      </c>
      <c r="AW162">
        <f t="shared" si="52"/>
        <v>3.8515826644360283E-5</v>
      </c>
      <c r="AY162" t="s">
        <v>379</v>
      </c>
      <c r="AZ162" t="s">
        <v>224</v>
      </c>
      <c r="BA162">
        <v>800</v>
      </c>
      <c r="BB162">
        <v>1.4308730144735868E-5</v>
      </c>
      <c r="BD162">
        <f t="shared" si="53"/>
        <v>9.0347924419968735E-5</v>
      </c>
      <c r="BF162">
        <f t="shared" si="54"/>
        <v>9.9879297477846349E-5</v>
      </c>
      <c r="BH162">
        <f t="shared" si="45"/>
        <v>1.2408639397747077E-4</v>
      </c>
      <c r="BJ162">
        <f t="shared" si="46"/>
        <v>8.4344939020851037E-2</v>
      </c>
      <c r="BL162" s="1">
        <f t="shared" si="47"/>
        <v>0.10091755227222919</v>
      </c>
      <c r="BN162">
        <f t="shared" si="48"/>
        <v>0.10687777183545588</v>
      </c>
      <c r="BP162">
        <v>9.0766039576663164</v>
      </c>
      <c r="BQ162" s="4">
        <v>78.759999999999977</v>
      </c>
      <c r="BR162">
        <v>10.33</v>
      </c>
      <c r="BT162" s="1">
        <v>2.5754999999999997E-7</v>
      </c>
      <c r="BV162" s="11">
        <f t="shared" si="49"/>
        <v>8.0961506612598217</v>
      </c>
    </row>
    <row r="163" spans="1:74" x14ac:dyDescent="0.25">
      <c r="A163" t="s">
        <v>163</v>
      </c>
      <c r="B163" t="s">
        <v>5</v>
      </c>
      <c r="C163" s="1">
        <v>3.5899999999999999E-3</v>
      </c>
      <c r="D163">
        <v>2.1518094711195972E-8</v>
      </c>
      <c r="F163" t="s">
        <v>163</v>
      </c>
      <c r="G163" t="s">
        <v>6</v>
      </c>
      <c r="H163" s="1">
        <v>2.5899999999999999E-3</v>
      </c>
      <c r="I163">
        <v>1.5574562594179009E-8</v>
      </c>
      <c r="K163" t="s">
        <v>163</v>
      </c>
      <c r="L163" t="s">
        <v>7</v>
      </c>
      <c r="M163" s="1">
        <v>2.1700000000000001E-3</v>
      </c>
      <c r="N163">
        <v>1.2979957627049482E-8</v>
      </c>
      <c r="P163" t="s">
        <v>163</v>
      </c>
      <c r="Q163" t="s">
        <v>446</v>
      </c>
      <c r="R163">
        <v>7.8635996846228133E-9</v>
      </c>
      <c r="T163">
        <f t="shared" si="50"/>
        <v>5.9435321170169629E-9</v>
      </c>
      <c r="V163" s="1">
        <f t="shared" si="51"/>
        <v>8.5381370841464904E-9</v>
      </c>
      <c r="X163">
        <f t="shared" si="43"/>
        <v>1.3654495026573159E-8</v>
      </c>
      <c r="AA163" t="s">
        <v>380</v>
      </c>
      <c r="AB163" t="s">
        <v>224</v>
      </c>
      <c r="AC163">
        <v>350</v>
      </c>
      <c r="AD163" s="1">
        <v>1.42075067962849E-4</v>
      </c>
      <c r="AE163" s="1">
        <v>2.3232479100562502E-6</v>
      </c>
      <c r="AF163" s="1">
        <v>3.5485328000753601E-6</v>
      </c>
      <c r="AG163">
        <f t="shared" si="55"/>
        <v>1.4213836393645789E-4</v>
      </c>
      <c r="AI163" t="s">
        <v>380</v>
      </c>
      <c r="AJ163" t="s">
        <v>224</v>
      </c>
      <c r="AK163">
        <v>550</v>
      </c>
      <c r="AL163" s="1">
        <v>4.8862875726396503E-5</v>
      </c>
      <c r="AM163" s="1">
        <v>1.46167283000331E-6</v>
      </c>
      <c r="AN163" s="1">
        <v>1.9183392006580301E-6</v>
      </c>
      <c r="AO163">
        <f t="shared" si="56"/>
        <v>4.8922358252684629E-5</v>
      </c>
      <c r="AQ163" t="s">
        <v>380</v>
      </c>
      <c r="AR163" t="s">
        <v>224</v>
      </c>
      <c r="AS163">
        <v>600</v>
      </c>
      <c r="AT163" s="1">
        <v>4.2916249550686702E-5</v>
      </c>
      <c r="AU163" s="1">
        <v>8.1467741000661704E-7</v>
      </c>
      <c r="AV163" s="1">
        <v>2.24645020069662E-6</v>
      </c>
      <c r="AW163">
        <f t="shared" si="52"/>
        <v>4.2982725754463291E-5</v>
      </c>
      <c r="AY163" t="s">
        <v>380</v>
      </c>
      <c r="AZ163" t="s">
        <v>224</v>
      </c>
      <c r="BA163">
        <v>800</v>
      </c>
      <c r="BB163">
        <v>1.8038121661073206E-5</v>
      </c>
      <c r="BD163">
        <f t="shared" si="53"/>
        <v>9.3216005683773259E-5</v>
      </c>
      <c r="BF163">
        <f t="shared" si="54"/>
        <v>9.9155638181994604E-5</v>
      </c>
      <c r="BH163">
        <f t="shared" si="45"/>
        <v>1.2410024227538469E-4</v>
      </c>
      <c r="BJ163">
        <f t="shared" si="46"/>
        <v>6.3760853872883702E-2</v>
      </c>
      <c r="BL163" s="1">
        <f t="shared" si="47"/>
        <v>8.610843761073092E-2</v>
      </c>
      <c r="BN163">
        <f t="shared" si="48"/>
        <v>0.11002794818299506</v>
      </c>
      <c r="BP163">
        <v>8.730674610245222</v>
      </c>
      <c r="BQ163" s="4">
        <v>78.779999999999973</v>
      </c>
      <c r="BR163">
        <v>10.28</v>
      </c>
      <c r="BT163" s="1">
        <v>2.6498999999999999E-7</v>
      </c>
      <c r="BV163" s="11">
        <f t="shared" si="49"/>
        <v>7.8991655331520372</v>
      </c>
    </row>
    <row r="164" spans="1:74" x14ac:dyDescent="0.25">
      <c r="A164" t="s">
        <v>164</v>
      </c>
      <c r="B164" t="s">
        <v>5</v>
      </c>
      <c r="C164" s="1">
        <v>7.1399999999999996E-3</v>
      </c>
      <c r="D164">
        <v>4.2792318235870326E-8</v>
      </c>
      <c r="F164" t="s">
        <v>164</v>
      </c>
      <c r="G164" t="s">
        <v>6</v>
      </c>
      <c r="H164" s="1">
        <v>4.96E-3</v>
      </c>
      <c r="I164">
        <v>2.9738663386238462E-8</v>
      </c>
      <c r="K164" t="s">
        <v>164</v>
      </c>
      <c r="L164" t="s">
        <v>7</v>
      </c>
      <c r="M164" s="1">
        <v>4.5300000000000002E-3</v>
      </c>
      <c r="N164">
        <v>2.7164257766410624E-8</v>
      </c>
      <c r="P164" t="s">
        <v>164</v>
      </c>
      <c r="Q164" t="s">
        <v>446</v>
      </c>
      <c r="R164">
        <v>1.9074131697144172E-8</v>
      </c>
      <c r="T164">
        <f t="shared" si="50"/>
        <v>1.3053654849631864E-8</v>
      </c>
      <c r="V164" s="1">
        <f t="shared" si="51"/>
        <v>1.5628060469459701E-8</v>
      </c>
      <c r="X164">
        <f t="shared" si="43"/>
        <v>2.3718186538726154E-8</v>
      </c>
      <c r="AA164" t="s">
        <v>381</v>
      </c>
      <c r="AB164" t="s">
        <v>224</v>
      </c>
      <c r="AC164">
        <v>350</v>
      </c>
      <c r="AD164" s="1">
        <v>1.3768980540100899E-4</v>
      </c>
      <c r="AE164" s="1">
        <v>4.8622596400264699E-6</v>
      </c>
      <c r="AF164" s="1">
        <v>5.34833265070765E-6</v>
      </c>
      <c r="AG164">
        <f t="shared" si="55"/>
        <v>1.3787939926732123E-4</v>
      </c>
      <c r="AI164" t="s">
        <v>381</v>
      </c>
      <c r="AJ164" t="s">
        <v>224</v>
      </c>
      <c r="AK164">
        <v>550</v>
      </c>
      <c r="AL164" s="1">
        <v>4.5865968601271898E-5</v>
      </c>
      <c r="AM164" s="1">
        <v>5.2515275700132403E-6</v>
      </c>
      <c r="AN164" s="1">
        <v>4.1255641007352201E-6</v>
      </c>
      <c r="AO164">
        <f t="shared" si="56"/>
        <v>4.6349605140720932E-5</v>
      </c>
      <c r="AQ164" t="s">
        <v>381</v>
      </c>
      <c r="AR164" t="s">
        <v>224</v>
      </c>
      <c r="AS164">
        <v>600</v>
      </c>
      <c r="AT164" s="1">
        <v>3.8234016129154402E-5</v>
      </c>
      <c r="AU164" s="1">
        <v>4.4931224302597203E-6</v>
      </c>
      <c r="AV164" s="1">
        <v>4.0336683505946101E-6</v>
      </c>
      <c r="AW164">
        <f t="shared" si="52"/>
        <v>3.8707862494593148E-5</v>
      </c>
      <c r="AY164" t="s">
        <v>381</v>
      </c>
      <c r="AZ164" t="s">
        <v>224</v>
      </c>
      <c r="BA164">
        <v>800</v>
      </c>
      <c r="BB164">
        <v>1.6582637258555104E-5</v>
      </c>
      <c r="BD164">
        <f t="shared" si="53"/>
        <v>9.1529794126600305E-5</v>
      </c>
      <c r="BF164">
        <f t="shared" si="54"/>
        <v>9.9171536772728076E-5</v>
      </c>
      <c r="BH164">
        <f t="shared" si="45"/>
        <v>1.2129676200876613E-4</v>
      </c>
      <c r="BJ164">
        <f t="shared" si="46"/>
        <v>0.14261645592228228</v>
      </c>
      <c r="BL164" s="1">
        <f t="shared" si="47"/>
        <v>0.15758614798190138</v>
      </c>
      <c r="BN164">
        <f t="shared" si="48"/>
        <v>0.19553849703763762</v>
      </c>
      <c r="BP164">
        <v>17.490211807667251</v>
      </c>
      <c r="BQ164" s="4">
        <v>78.799999999999969</v>
      </c>
      <c r="BR164">
        <v>9.7439999999999998</v>
      </c>
      <c r="BT164" s="1">
        <v>2.7753999999999998E-7</v>
      </c>
      <c r="BV164" s="11">
        <f t="shared" si="49"/>
        <v>15.82351472017818</v>
      </c>
    </row>
    <row r="165" spans="1:74" x14ac:dyDescent="0.25">
      <c r="A165" t="s">
        <v>165</v>
      </c>
      <c r="B165" t="s">
        <v>5</v>
      </c>
      <c r="C165" s="1">
        <v>5.0000000000000001E-3</v>
      </c>
      <c r="D165">
        <v>3.0032084509737249E-8</v>
      </c>
      <c r="F165" t="s">
        <v>165</v>
      </c>
      <c r="G165" t="s">
        <v>6</v>
      </c>
      <c r="H165" s="1">
        <v>3.3300000000000001E-3</v>
      </c>
      <c r="I165">
        <v>2.0032594891576078E-8</v>
      </c>
      <c r="K165" t="s">
        <v>165</v>
      </c>
      <c r="L165" t="s">
        <v>7</v>
      </c>
      <c r="M165" s="1">
        <v>3.0100000000000001E-3</v>
      </c>
      <c r="N165">
        <v>1.8029675537845932E-8</v>
      </c>
      <c r="P165" t="s">
        <v>165</v>
      </c>
      <c r="Q165" t="s">
        <v>446</v>
      </c>
      <c r="R165">
        <v>1.274023190526766E-8</v>
      </c>
      <c r="T165">
        <f t="shared" si="50"/>
        <v>9.9994896181611702E-9</v>
      </c>
      <c r="V165" s="1">
        <f t="shared" si="51"/>
        <v>1.2002408971891316E-8</v>
      </c>
      <c r="X165">
        <f t="shared" si="43"/>
        <v>1.7291852604469591E-8</v>
      </c>
      <c r="AA165" t="s">
        <v>382</v>
      </c>
      <c r="AB165" t="s">
        <v>224</v>
      </c>
      <c r="AC165">
        <v>350</v>
      </c>
      <c r="AD165" s="1">
        <v>1.7554414993589199E-4</v>
      </c>
      <c r="AE165" s="1">
        <v>1.9042279601306901E-6</v>
      </c>
      <c r="AF165" s="1">
        <v>5.6065042002086204E-6</v>
      </c>
      <c r="AG165">
        <f t="shared" si="55"/>
        <v>1.756439795443784E-4</v>
      </c>
      <c r="AI165" t="s">
        <v>382</v>
      </c>
      <c r="AJ165" t="s">
        <v>224</v>
      </c>
      <c r="AK165">
        <v>550</v>
      </c>
      <c r="AL165" s="1">
        <v>6.3327767608616493E-5</v>
      </c>
      <c r="AM165" s="1">
        <v>2.1437736598908199E-6</v>
      </c>
      <c r="AN165" s="1">
        <v>3.1345702002904098E-6</v>
      </c>
      <c r="AO165">
        <f t="shared" si="56"/>
        <v>6.3441527772716241E-5</v>
      </c>
      <c r="AQ165" t="s">
        <v>382</v>
      </c>
      <c r="AR165" t="s">
        <v>224</v>
      </c>
      <c r="AS165">
        <v>600</v>
      </c>
      <c r="AT165" s="1">
        <v>5.0570049178504E-5</v>
      </c>
      <c r="AU165" s="1">
        <v>2.33582960993218E-6</v>
      </c>
      <c r="AV165" s="1">
        <v>2.8062125005449801E-6</v>
      </c>
      <c r="AW165">
        <f t="shared" si="52"/>
        <v>5.0701684414634228E-5</v>
      </c>
      <c r="AY165" t="s">
        <v>382</v>
      </c>
      <c r="AZ165" t="s">
        <v>224</v>
      </c>
      <c r="BA165">
        <v>800</v>
      </c>
      <c r="BB165">
        <v>2.3315979084352333E-5</v>
      </c>
      <c r="BD165">
        <f t="shared" si="53"/>
        <v>1.1220245177166216E-4</v>
      </c>
      <c r="BF165">
        <f t="shared" si="54"/>
        <v>1.2494229512974417E-4</v>
      </c>
      <c r="BH165">
        <f t="shared" si="45"/>
        <v>1.5232800046002608E-4</v>
      </c>
      <c r="BJ165">
        <f t="shared" si="46"/>
        <v>8.9120063423486079E-2</v>
      </c>
      <c r="BL165" s="1">
        <f t="shared" si="47"/>
        <v>9.6063618484258054E-2</v>
      </c>
      <c r="BN165">
        <f t="shared" si="48"/>
        <v>0.11351722961142209</v>
      </c>
      <c r="BP165">
        <v>9.7592651959388608</v>
      </c>
      <c r="BQ165" s="3">
        <v>78.83</v>
      </c>
      <c r="BR165">
        <v>12.46</v>
      </c>
      <c r="BT165" s="1">
        <v>2.6548000000000002E-7</v>
      </c>
      <c r="BV165" s="11">
        <f t="shared" si="49"/>
        <v>9.0789500364515074</v>
      </c>
    </row>
    <row r="166" spans="1:74" x14ac:dyDescent="0.25">
      <c r="A166" t="s">
        <v>166</v>
      </c>
      <c r="B166" t="s">
        <v>5</v>
      </c>
      <c r="C166" s="1">
        <v>3.7799999999999999E-3</v>
      </c>
      <c r="D166">
        <v>2.2696089971622863E-8</v>
      </c>
      <c r="F166" t="s">
        <v>166</v>
      </c>
      <c r="G166" t="s">
        <v>6</v>
      </c>
      <c r="H166" s="1">
        <v>2.7000000000000001E-3</v>
      </c>
      <c r="I166">
        <v>1.616054714420276E-8</v>
      </c>
      <c r="K166" t="s">
        <v>166</v>
      </c>
      <c r="L166" t="s">
        <v>7</v>
      </c>
      <c r="M166" s="1">
        <v>2.5400000000000002E-3</v>
      </c>
      <c r="N166">
        <v>1.5232153491873696E-8</v>
      </c>
      <c r="P166" t="s">
        <v>166</v>
      </c>
      <c r="Q166" t="s">
        <v>446</v>
      </c>
      <c r="R166">
        <v>9.4824891246971652E-9</v>
      </c>
      <c r="T166">
        <f t="shared" si="50"/>
        <v>6.5355428274201039E-9</v>
      </c>
      <c r="V166" s="1">
        <f t="shared" si="51"/>
        <v>7.4639364797491672E-9</v>
      </c>
      <c r="X166">
        <f t="shared" si="43"/>
        <v>1.3213600846925698E-8</v>
      </c>
      <c r="AA166" t="s">
        <v>383</v>
      </c>
      <c r="AB166" t="s">
        <v>224</v>
      </c>
      <c r="AC166">
        <v>350</v>
      </c>
      <c r="AD166" s="1">
        <v>1.4204499495251301E-4</v>
      </c>
      <c r="AE166" s="1">
        <v>2.5752519600066199E-6</v>
      </c>
      <c r="AF166" s="1">
        <v>2.5179435506120701E-6</v>
      </c>
      <c r="AG166">
        <f t="shared" si="55"/>
        <v>1.4209064907108078E-4</v>
      </c>
      <c r="AI166" t="s">
        <v>383</v>
      </c>
      <c r="AJ166" t="s">
        <v>224</v>
      </c>
      <c r="AK166">
        <v>550</v>
      </c>
      <c r="AL166" s="1">
        <v>5.0370373302293998E-5</v>
      </c>
      <c r="AM166" s="1">
        <v>1.6439101200215101E-6</v>
      </c>
      <c r="AN166" s="1">
        <v>3.05550285067181E-6</v>
      </c>
      <c r="AO166">
        <f t="shared" si="56"/>
        <v>5.0489732072626658E-5</v>
      </c>
      <c r="AQ166" t="s">
        <v>383</v>
      </c>
      <c r="AR166" t="s">
        <v>224</v>
      </c>
      <c r="AS166">
        <v>600</v>
      </c>
      <c r="AT166" s="1">
        <v>4.45097647523237E-5</v>
      </c>
      <c r="AU166" s="1">
        <v>2.2313274900430099E-6</v>
      </c>
      <c r="AV166" s="1">
        <v>3.0589566506672201E-6</v>
      </c>
      <c r="AW166">
        <f t="shared" si="52"/>
        <v>4.4670518202341014E-5</v>
      </c>
      <c r="AY166" t="s">
        <v>383</v>
      </c>
      <c r="AZ166" t="s">
        <v>224</v>
      </c>
      <c r="BA166">
        <v>800</v>
      </c>
      <c r="BB166">
        <v>1.7971959108851578E-5</v>
      </c>
      <c r="BD166">
        <f t="shared" si="53"/>
        <v>9.1600916998454116E-5</v>
      </c>
      <c r="BF166">
        <f t="shared" si="54"/>
        <v>9.7420130868739767E-5</v>
      </c>
      <c r="BH166">
        <f t="shared" si="45"/>
        <v>1.2411868996222922E-4</v>
      </c>
      <c r="BJ166">
        <f t="shared" si="46"/>
        <v>7.1348006565593661E-2</v>
      </c>
      <c r="BL166" s="1">
        <f t="shared" si="47"/>
        <v>7.6615956201144864E-2</v>
      </c>
      <c r="BN166">
        <f t="shared" si="48"/>
        <v>0.10645939665449863</v>
      </c>
      <c r="BP166">
        <v>9.2045256732809477</v>
      </c>
      <c r="BQ166" s="4">
        <v>78.849999999999994</v>
      </c>
      <c r="BR166">
        <v>10.16</v>
      </c>
      <c r="BT166" s="1">
        <v>2.6766E-7</v>
      </c>
      <c r="BV166" s="11">
        <f t="shared" si="49"/>
        <v>8.3459131853516642</v>
      </c>
    </row>
    <row r="167" spans="1:74" x14ac:dyDescent="0.25">
      <c r="A167" t="s">
        <v>167</v>
      </c>
      <c r="B167" t="s">
        <v>5</v>
      </c>
      <c r="C167" s="1">
        <v>3.9699999999999996E-3</v>
      </c>
      <c r="D167">
        <v>2.3822428507606021E-8</v>
      </c>
      <c r="F167" t="s">
        <v>167</v>
      </c>
      <c r="G167" t="s">
        <v>6</v>
      </c>
      <c r="H167" s="1">
        <v>2.5100000000000001E-3</v>
      </c>
      <c r="I167">
        <v>1.5065962166420039E-8</v>
      </c>
      <c r="K167" t="s">
        <v>167</v>
      </c>
      <c r="L167" t="s">
        <v>7</v>
      </c>
      <c r="M167" s="1">
        <v>2.3E-3</v>
      </c>
      <c r="N167">
        <v>1.3763317187364388E-8</v>
      </c>
      <c r="P167" t="s">
        <v>167</v>
      </c>
      <c r="Q167" t="s">
        <v>446</v>
      </c>
      <c r="R167">
        <v>9.0595807850032437E-9</v>
      </c>
      <c r="T167">
        <f t="shared" si="50"/>
        <v>8.7564663411859817E-9</v>
      </c>
      <c r="V167" s="1">
        <f t="shared" si="51"/>
        <v>1.0059111320241632E-8</v>
      </c>
      <c r="X167">
        <f t="shared" si="43"/>
        <v>1.4762847722602777E-8</v>
      </c>
      <c r="AA167" t="s">
        <v>384</v>
      </c>
      <c r="AB167" t="s">
        <v>224</v>
      </c>
      <c r="AC167">
        <v>350</v>
      </c>
      <c r="AD167" s="1">
        <v>1.5815687005281E-4</v>
      </c>
      <c r="AE167" s="1">
        <v>2.2144285400181999E-6</v>
      </c>
      <c r="AF167" s="1">
        <v>3.2618674006203398E-6</v>
      </c>
      <c r="AG167">
        <f t="shared" si="55"/>
        <v>1.5820600183810823E-4</v>
      </c>
      <c r="AI167" t="s">
        <v>384</v>
      </c>
      <c r="AJ167" t="s">
        <v>224</v>
      </c>
      <c r="AK167">
        <v>550</v>
      </c>
      <c r="AL167" s="1">
        <v>5.4990603288875399E-5</v>
      </c>
      <c r="AM167" s="1">
        <v>3.00924659998346E-7</v>
      </c>
      <c r="AN167" s="1">
        <v>2.8146003000101101E-6</v>
      </c>
      <c r="AO167">
        <f t="shared" si="56"/>
        <v>5.5063408726433617E-5</v>
      </c>
      <c r="AQ167" t="s">
        <v>384</v>
      </c>
      <c r="AR167" t="s">
        <v>224</v>
      </c>
      <c r="AS167">
        <v>600</v>
      </c>
      <c r="AT167" s="1">
        <v>4.4876478462708901E-5</v>
      </c>
      <c r="AU167" s="1">
        <v>2.6804201700049601E-6</v>
      </c>
      <c r="AV167" s="1">
        <v>3.3066434500450301E-6</v>
      </c>
      <c r="AW167">
        <f t="shared" si="52"/>
        <v>4.5077897715038478E-5</v>
      </c>
      <c r="AY167" t="s">
        <v>384</v>
      </c>
      <c r="AZ167" t="s">
        <v>224</v>
      </c>
      <c r="BA167">
        <v>800</v>
      </c>
      <c r="BB167">
        <v>1.7759747368767189E-5</v>
      </c>
      <c r="BD167">
        <f t="shared" si="53"/>
        <v>1.0314259311167462E-4</v>
      </c>
      <c r="BF167">
        <f t="shared" si="54"/>
        <v>1.1312810412306975E-4</v>
      </c>
      <c r="BH167">
        <f t="shared" si="45"/>
        <v>1.4044625446934104E-4</v>
      </c>
      <c r="BJ167">
        <f t="shared" si="46"/>
        <v>8.4896705396045005E-2</v>
      </c>
      <c r="BL167" s="1">
        <f t="shared" si="47"/>
        <v>8.8917881177417515E-2</v>
      </c>
      <c r="BN167">
        <f t="shared" si="48"/>
        <v>0.10511385852461776</v>
      </c>
      <c r="BP167">
        <v>8.7538294167937654</v>
      </c>
      <c r="BQ167" s="4">
        <v>78.86999999999999</v>
      </c>
      <c r="BR167">
        <v>11.71</v>
      </c>
      <c r="BT167" s="1">
        <v>2.5636E-7</v>
      </c>
      <c r="BV167" s="11">
        <f t="shared" si="49"/>
        <v>7.9355836561782906</v>
      </c>
    </row>
    <row r="168" spans="1:74" x14ac:dyDescent="0.25">
      <c r="A168" t="s">
        <v>168</v>
      </c>
      <c r="B168" t="s">
        <v>5</v>
      </c>
      <c r="C168" s="1">
        <v>4.4600000000000004E-3</v>
      </c>
      <c r="D168">
        <v>2.6711250438719637E-8</v>
      </c>
      <c r="F168" t="s">
        <v>168</v>
      </c>
      <c r="G168" t="s">
        <v>6</v>
      </c>
      <c r="H168" s="1">
        <v>3.0699999999999998E-3</v>
      </c>
      <c r="I168">
        <v>1.8478433375153858E-8</v>
      </c>
      <c r="K168" t="s">
        <v>168</v>
      </c>
      <c r="L168" t="s">
        <v>7</v>
      </c>
      <c r="M168" s="1">
        <v>3.0400000000000002E-3</v>
      </c>
      <c r="N168">
        <v>1.8204460991745952E-8</v>
      </c>
      <c r="P168" t="s">
        <v>168</v>
      </c>
      <c r="Q168" t="s">
        <v>446</v>
      </c>
      <c r="R168">
        <v>1.2959212939063853E-8</v>
      </c>
      <c r="T168">
        <f t="shared" si="50"/>
        <v>8.232817063565779E-9</v>
      </c>
      <c r="V168" s="1">
        <f t="shared" si="51"/>
        <v>8.5067894469736848E-9</v>
      </c>
      <c r="X168">
        <f t="shared" si="43"/>
        <v>1.3752037499655784E-8</v>
      </c>
      <c r="AA168" t="s">
        <v>385</v>
      </c>
      <c r="AB168" t="s">
        <v>224</v>
      </c>
      <c r="AC168">
        <v>350</v>
      </c>
      <c r="AD168" s="1">
        <v>1.5535654306282E-4</v>
      </c>
      <c r="AE168" s="1">
        <v>8.3401869001819703E-7</v>
      </c>
      <c r="AF168" s="1">
        <v>3.9507771500542201E-6</v>
      </c>
      <c r="AG168">
        <f t="shared" si="55"/>
        <v>1.5540900778170658E-4</v>
      </c>
      <c r="AI168" t="s">
        <v>385</v>
      </c>
      <c r="AJ168" t="s">
        <v>224</v>
      </c>
      <c r="AK168">
        <v>550</v>
      </c>
      <c r="AL168" s="1">
        <v>5.78698719020034E-5</v>
      </c>
      <c r="AM168" s="1">
        <v>1.04164140999835E-6</v>
      </c>
      <c r="AN168" s="1">
        <v>2.64622755063321E-6</v>
      </c>
      <c r="AO168">
        <f t="shared" si="56"/>
        <v>5.7939706687478462E-5</v>
      </c>
      <c r="AQ168" t="s">
        <v>385</v>
      </c>
      <c r="AR168" t="s">
        <v>224</v>
      </c>
      <c r="AS168">
        <v>600</v>
      </c>
      <c r="AT168" s="1">
        <v>4.7985982426908497E-5</v>
      </c>
      <c r="AU168" s="1">
        <v>5.1182849003473896E-7</v>
      </c>
      <c r="AV168" s="1">
        <v>3.6163753006442401E-6</v>
      </c>
      <c r="AW168">
        <f t="shared" si="52"/>
        <v>4.8124782058663829E-5</v>
      </c>
      <c r="AY168" t="s">
        <v>385</v>
      </c>
      <c r="AZ168" t="s">
        <v>224</v>
      </c>
      <c r="BA168">
        <v>800</v>
      </c>
      <c r="BB168">
        <v>2.039200170077854E-5</v>
      </c>
      <c r="BD168">
        <f t="shared" si="53"/>
        <v>9.7469301094228121E-5</v>
      </c>
      <c r="BF168">
        <f t="shared" si="54"/>
        <v>1.0728422572304275E-4</v>
      </c>
      <c r="BH168">
        <f t="shared" si="45"/>
        <v>1.3501700608092805E-4</v>
      </c>
      <c r="BJ168">
        <f t="shared" si="46"/>
        <v>8.4465744302472542E-2</v>
      </c>
      <c r="BL168" s="1">
        <f t="shared" si="47"/>
        <v>7.929208035610194E-2</v>
      </c>
      <c r="BN168">
        <f t="shared" si="48"/>
        <v>0.10185411378039985</v>
      </c>
      <c r="BP168">
        <v>9.9950268983076267</v>
      </c>
      <c r="BQ168" s="4">
        <v>78.889999999999986</v>
      </c>
      <c r="BR168">
        <v>11.54</v>
      </c>
      <c r="BT168" s="1">
        <v>2.5385000000000001E-7</v>
      </c>
      <c r="BV168" s="11">
        <f t="shared" si="49"/>
        <v>9.1182446950308869</v>
      </c>
    </row>
    <row r="169" spans="1:74" x14ac:dyDescent="0.25">
      <c r="A169" t="s">
        <v>169</v>
      </c>
      <c r="B169" t="s">
        <v>5</v>
      </c>
      <c r="C169" s="1">
        <v>5.3299999999999997E-3</v>
      </c>
      <c r="D169">
        <v>3.2022860584276356E-8</v>
      </c>
      <c r="F169" t="s">
        <v>169</v>
      </c>
      <c r="G169" t="s">
        <v>6</v>
      </c>
      <c r="H169" s="1">
        <v>3.6099999999999999E-3</v>
      </c>
      <c r="I169">
        <v>2.1640665424149966E-8</v>
      </c>
      <c r="K169" t="s">
        <v>169</v>
      </c>
      <c r="L169" t="s">
        <v>7</v>
      </c>
      <c r="M169" s="1">
        <v>3.1900000000000001E-3</v>
      </c>
      <c r="N169">
        <v>1.9173158320944413E-8</v>
      </c>
      <c r="P169" t="s">
        <v>169</v>
      </c>
      <c r="Q169" t="s">
        <v>446</v>
      </c>
      <c r="R169">
        <v>1.4493060408347161E-8</v>
      </c>
      <c r="T169">
        <f t="shared" si="50"/>
        <v>1.038219516012639E-8</v>
      </c>
      <c r="V169" s="1">
        <f t="shared" si="51"/>
        <v>1.2849702263331942E-8</v>
      </c>
      <c r="X169">
        <f t="shared" si="43"/>
        <v>1.7529800175929194E-8</v>
      </c>
      <c r="AA169" t="s">
        <v>386</v>
      </c>
      <c r="AB169" t="s">
        <v>224</v>
      </c>
      <c r="AC169">
        <v>350</v>
      </c>
      <c r="AD169" s="1">
        <v>1.6484731650171899E-4</v>
      </c>
      <c r="AE169" s="1">
        <v>1.5285532000082699E-6</v>
      </c>
      <c r="AF169" s="1">
        <v>5.81570580064792E-6</v>
      </c>
      <c r="AG169">
        <f t="shared" si="55"/>
        <v>1.649569539809185E-4</v>
      </c>
      <c r="AI169" t="s">
        <v>386</v>
      </c>
      <c r="AJ169" t="s">
        <v>224</v>
      </c>
      <c r="AK169">
        <v>550</v>
      </c>
      <c r="AL169" s="1">
        <v>5.8803417426977701E-5</v>
      </c>
      <c r="AM169" s="1">
        <v>2.19563000004136E-6</v>
      </c>
      <c r="AN169" s="1">
        <v>4.4805654006754899E-6</v>
      </c>
      <c r="AO169">
        <f t="shared" si="56"/>
        <v>5.9014728318430787E-5</v>
      </c>
      <c r="AQ169" t="s">
        <v>386</v>
      </c>
      <c r="AR169" t="s">
        <v>224</v>
      </c>
      <c r="AS169">
        <v>600</v>
      </c>
      <c r="AT169" s="1">
        <v>4.6721633902270297E-5</v>
      </c>
      <c r="AU169" s="1">
        <v>3.1361244100231602E-6</v>
      </c>
      <c r="AV169" s="1">
        <v>3.5128846506653798E-6</v>
      </c>
      <c r="AW169">
        <f t="shared" si="52"/>
        <v>4.695835079495229E-5</v>
      </c>
      <c r="AY169" t="s">
        <v>386</v>
      </c>
      <c r="AZ169" t="s">
        <v>224</v>
      </c>
      <c r="BA169">
        <v>800</v>
      </c>
      <c r="BB169">
        <v>1.9724891878758048E-5</v>
      </c>
      <c r="BD169">
        <f t="shared" si="53"/>
        <v>1.059422256624877E-4</v>
      </c>
      <c r="BF169">
        <f t="shared" si="54"/>
        <v>1.179986031859662E-4</v>
      </c>
      <c r="BH169">
        <f t="shared" si="45"/>
        <v>1.4523206210216046E-4</v>
      </c>
      <c r="BJ169">
        <f t="shared" si="46"/>
        <v>9.7998650634376322E-2</v>
      </c>
      <c r="BL169" s="1">
        <f t="shared" si="47"/>
        <v>0.10889707095160074</v>
      </c>
      <c r="BN169">
        <f t="shared" si="48"/>
        <v>0.12070199873357318</v>
      </c>
      <c r="BP169">
        <v>11.532382467750935</v>
      </c>
      <c r="BQ169" s="4">
        <v>78.909999999999982</v>
      </c>
      <c r="BR169">
        <v>11.85</v>
      </c>
      <c r="BT169" s="1">
        <v>2.5791000000000001E-7</v>
      </c>
      <c r="BV169" s="11">
        <f t="shared" si="49"/>
        <v>10.477884161755426</v>
      </c>
    </row>
    <row r="170" spans="1:74" x14ac:dyDescent="0.25">
      <c r="A170" t="s">
        <v>170</v>
      </c>
      <c r="B170" t="s">
        <v>5</v>
      </c>
      <c r="C170" s="1">
        <v>4.0899999999999999E-3</v>
      </c>
      <c r="D170">
        <v>2.4485344596309035E-8</v>
      </c>
      <c r="F170" t="s">
        <v>170</v>
      </c>
      <c r="G170" t="s">
        <v>6</v>
      </c>
      <c r="H170" s="1">
        <v>3.0799999999999998E-3</v>
      </c>
      <c r="I170">
        <v>1.8485507837222108E-8</v>
      </c>
      <c r="K170" t="s">
        <v>170</v>
      </c>
      <c r="L170" t="s">
        <v>7</v>
      </c>
      <c r="M170" s="1">
        <v>2.8300000000000001E-3</v>
      </c>
      <c r="N170">
        <v>1.6977449749594312E-8</v>
      </c>
      <c r="P170" t="s">
        <v>170</v>
      </c>
      <c r="Q170" t="s">
        <v>446</v>
      </c>
      <c r="R170">
        <v>1.2690835275898903E-8</v>
      </c>
      <c r="T170">
        <f t="shared" si="50"/>
        <v>5.9998367590869273E-9</v>
      </c>
      <c r="V170" s="1">
        <f t="shared" si="51"/>
        <v>7.5078948467147237E-9</v>
      </c>
      <c r="X170">
        <f t="shared" si="43"/>
        <v>1.1794509320410132E-8</v>
      </c>
      <c r="AA170" t="s">
        <v>387</v>
      </c>
      <c r="AB170" t="s">
        <v>224</v>
      </c>
      <c r="AC170">
        <v>350</v>
      </c>
      <c r="AD170" s="1">
        <v>1.5857028535192001E-4</v>
      </c>
      <c r="AE170" s="1">
        <v>1.69613650999835E-6</v>
      </c>
      <c r="AF170" s="1">
        <v>4.7400938006754902E-6</v>
      </c>
      <c r="AG170">
        <f t="shared" si="55"/>
        <v>1.5865018362702605E-4</v>
      </c>
      <c r="AI170" t="s">
        <v>387</v>
      </c>
      <c r="AJ170" t="s">
        <v>224</v>
      </c>
      <c r="AK170">
        <v>550</v>
      </c>
      <c r="AL170" s="1">
        <v>5.3683002709660398E-5</v>
      </c>
      <c r="AM170" s="1">
        <v>3.8247627901836199E-6</v>
      </c>
      <c r="AN170" s="1">
        <v>3.0209648502417001E-6</v>
      </c>
      <c r="AO170">
        <f t="shared" si="56"/>
        <v>5.3903801525986779E-5</v>
      </c>
      <c r="AQ170" t="s">
        <v>387</v>
      </c>
      <c r="AR170" t="s">
        <v>224</v>
      </c>
      <c r="AS170">
        <v>600</v>
      </c>
      <c r="AT170" s="1">
        <v>4.4388544038307997E-5</v>
      </c>
      <c r="AU170" s="1">
        <v>3.0395907000579E-6</v>
      </c>
      <c r="AV170" s="1">
        <v>2.76316335003584E-6</v>
      </c>
      <c r="AW170">
        <f t="shared" si="52"/>
        <v>4.4578212449173738E-5</v>
      </c>
      <c r="AY170" t="s">
        <v>387</v>
      </c>
      <c r="AZ170" t="s">
        <v>224</v>
      </c>
      <c r="BA170">
        <v>800</v>
      </c>
      <c r="BB170">
        <v>2.0039058557409988E-5</v>
      </c>
      <c r="BD170">
        <f t="shared" si="53"/>
        <v>1.0474638210103928E-4</v>
      </c>
      <c r="BF170">
        <f t="shared" si="54"/>
        <v>1.1407197117785232E-4</v>
      </c>
      <c r="BH170">
        <f t="shared" si="45"/>
        <v>1.3861112506961606E-4</v>
      </c>
      <c r="BJ170">
        <f t="shared" si="46"/>
        <v>5.7279656239577155E-2</v>
      </c>
      <c r="BL170" s="1">
        <f t="shared" si="47"/>
        <v>6.5817174623983538E-2</v>
      </c>
      <c r="BN170">
        <f t="shared" si="48"/>
        <v>8.5090639834908333E-2</v>
      </c>
      <c r="BP170">
        <v>9.0102539154952961</v>
      </c>
      <c r="BQ170" s="4">
        <v>78.929999999999978</v>
      </c>
      <c r="BR170">
        <v>12.17</v>
      </c>
      <c r="BT170" s="1">
        <v>2.522E-7</v>
      </c>
      <c r="BV170" s="11">
        <f t="shared" si="49"/>
        <v>7.97756883103595</v>
      </c>
    </row>
    <row r="171" spans="1:74" x14ac:dyDescent="0.25">
      <c r="A171" t="s">
        <v>171</v>
      </c>
      <c r="B171" t="s">
        <v>5</v>
      </c>
      <c r="C171" s="1">
        <v>4.3699999999999998E-3</v>
      </c>
      <c r="D171">
        <v>2.6214118333447725E-8</v>
      </c>
      <c r="F171" t="s">
        <v>171</v>
      </c>
      <c r="G171" t="s">
        <v>6</v>
      </c>
      <c r="H171" s="1">
        <v>3.0400000000000002E-3</v>
      </c>
      <c r="I171">
        <v>1.8208308543079997E-8</v>
      </c>
      <c r="K171" t="s">
        <v>171</v>
      </c>
      <c r="L171" t="s">
        <v>7</v>
      </c>
      <c r="M171" s="1">
        <v>3.0200000000000001E-3</v>
      </c>
      <c r="N171">
        <v>1.811619717269604E-8</v>
      </c>
      <c r="P171" t="s">
        <v>171</v>
      </c>
      <c r="Q171" t="s">
        <v>446</v>
      </c>
      <c r="R171">
        <v>1.2883730049950596E-8</v>
      </c>
      <c r="T171">
        <f t="shared" si="50"/>
        <v>8.0058097903677279E-9</v>
      </c>
      <c r="V171" s="1">
        <f t="shared" si="51"/>
        <v>8.097921160751685E-9</v>
      </c>
      <c r="X171">
        <f t="shared" si="43"/>
        <v>1.3330388283497129E-8</v>
      </c>
      <c r="AA171" t="s">
        <v>388</v>
      </c>
      <c r="AB171" t="s">
        <v>224</v>
      </c>
      <c r="AC171">
        <v>350</v>
      </c>
      <c r="AD171" s="1">
        <v>1.68556467262667E-4</v>
      </c>
      <c r="AE171" s="1">
        <v>7.1338239006782403E-7</v>
      </c>
      <c r="AF171" s="1">
        <v>5.1720655000891398E-6</v>
      </c>
      <c r="AG171">
        <f t="shared" si="55"/>
        <v>1.6863730854126615E-4</v>
      </c>
      <c r="AI171" t="s">
        <v>388</v>
      </c>
      <c r="AJ171" t="s">
        <v>224</v>
      </c>
      <c r="AK171">
        <v>550</v>
      </c>
      <c r="AL171" s="1">
        <v>6.0418735553377399E-5</v>
      </c>
      <c r="AM171" s="1">
        <v>3.5858091699470601E-6</v>
      </c>
      <c r="AN171" s="1">
        <v>2.3030678504889202E-6</v>
      </c>
      <c r="AO171">
        <f t="shared" si="56"/>
        <v>6.056885135774148E-5</v>
      </c>
      <c r="AQ171" t="s">
        <v>388</v>
      </c>
      <c r="AR171" t="s">
        <v>224</v>
      </c>
      <c r="AS171">
        <v>600</v>
      </c>
      <c r="AT171" s="1">
        <v>4.9547655626965802E-5</v>
      </c>
      <c r="AU171" s="1">
        <v>3.0602641599983501E-6</v>
      </c>
      <c r="AV171" s="1">
        <v>2.20241425058358E-6</v>
      </c>
      <c r="AW171">
        <f t="shared" si="52"/>
        <v>4.9690904835679331E-5</v>
      </c>
      <c r="AY171" t="s">
        <v>388</v>
      </c>
      <c r="AZ171" t="s">
        <v>224</v>
      </c>
      <c r="BA171">
        <v>800</v>
      </c>
      <c r="BB171">
        <v>2.0270402964130967E-5</v>
      </c>
      <c r="BD171">
        <f t="shared" si="53"/>
        <v>1.0806845718352466E-4</v>
      </c>
      <c r="BF171">
        <f t="shared" si="54"/>
        <v>1.1894640370558682E-4</v>
      </c>
      <c r="BH171">
        <f t="shared" si="45"/>
        <v>1.4836690557713518E-4</v>
      </c>
      <c r="BJ171">
        <f t="shared" si="46"/>
        <v>7.4080911294699556E-2</v>
      </c>
      <c r="BL171" s="1">
        <f t="shared" si="47"/>
        <v>6.8080420327759197E-2</v>
      </c>
      <c r="BN171">
        <f t="shared" si="48"/>
        <v>8.9847451031232359E-2</v>
      </c>
      <c r="BP171">
        <v>8.6356492572151584</v>
      </c>
      <c r="BQ171" s="4">
        <v>78.949999999999974</v>
      </c>
      <c r="BR171">
        <v>12.55</v>
      </c>
      <c r="BT171" s="1">
        <v>2.6810000000000003E-7</v>
      </c>
      <c r="BV171" s="11">
        <f t="shared" si="49"/>
        <v>7.7910271137598714</v>
      </c>
    </row>
    <row r="172" spans="1:74" x14ac:dyDescent="0.25">
      <c r="A172" t="s">
        <v>172</v>
      </c>
      <c r="B172" t="s">
        <v>5</v>
      </c>
      <c r="C172" s="1">
        <v>4.7200000000000002E-3</v>
      </c>
      <c r="D172">
        <v>2.8333797839329622E-8</v>
      </c>
      <c r="F172" t="s">
        <v>172</v>
      </c>
      <c r="G172" t="s">
        <v>6</v>
      </c>
      <c r="H172" s="1">
        <v>3.1700000000000001E-3</v>
      </c>
      <c r="I172">
        <v>1.8993156662334991E-8</v>
      </c>
      <c r="K172" t="s">
        <v>172</v>
      </c>
      <c r="L172" t="s">
        <v>7</v>
      </c>
      <c r="M172" s="1">
        <v>3.14E-3</v>
      </c>
      <c r="N172">
        <v>1.8845108118554271E-8</v>
      </c>
      <c r="P172" t="s">
        <v>172</v>
      </c>
      <c r="Q172" t="s">
        <v>446</v>
      </c>
      <c r="R172">
        <v>1.2594193106348656E-8</v>
      </c>
      <c r="T172">
        <f t="shared" si="50"/>
        <v>9.3406411769946303E-9</v>
      </c>
      <c r="V172" s="1">
        <f t="shared" si="51"/>
        <v>9.488689720775351E-9</v>
      </c>
      <c r="X172">
        <f t="shared" si="43"/>
        <v>1.5739604732980967E-8</v>
      </c>
      <c r="AA172" t="s">
        <v>389</v>
      </c>
      <c r="AB172" t="s">
        <v>224</v>
      </c>
      <c r="AC172">
        <v>350</v>
      </c>
      <c r="AD172" s="1">
        <v>1.4809745155151699E-4</v>
      </c>
      <c r="AE172" s="1">
        <v>2.6586118900099302E-6</v>
      </c>
      <c r="AF172" s="1">
        <v>5.9568182006378101E-6</v>
      </c>
      <c r="AG172">
        <f t="shared" si="55"/>
        <v>1.4824104376423916E-4</v>
      </c>
      <c r="AI172" t="s">
        <v>389</v>
      </c>
      <c r="AJ172" t="s">
        <v>224</v>
      </c>
      <c r="AK172">
        <v>550</v>
      </c>
      <c r="AL172" s="1">
        <v>4.90918727790437E-5</v>
      </c>
      <c r="AM172" s="1">
        <v>2.9883757801687301E-6</v>
      </c>
      <c r="AN172" s="1">
        <v>5.0562398505440699E-6</v>
      </c>
      <c r="AO172">
        <f t="shared" si="56"/>
        <v>4.9441965213607157E-5</v>
      </c>
      <c r="AQ172" t="s">
        <v>389</v>
      </c>
      <c r="AR172" t="s">
        <v>224</v>
      </c>
      <c r="AS172">
        <v>600</v>
      </c>
      <c r="AT172" s="1">
        <v>3.9198430711396202E-5</v>
      </c>
      <c r="AU172" s="1">
        <v>2.6430451201455699E-6</v>
      </c>
      <c r="AV172" s="1">
        <v>3.4001427501764498E-6</v>
      </c>
      <c r="AW172">
        <f t="shared" si="52"/>
        <v>3.9434295080105487E-5</v>
      </c>
      <c r="AY172" t="s">
        <v>389</v>
      </c>
      <c r="AZ172" t="s">
        <v>224</v>
      </c>
      <c r="BA172">
        <v>800</v>
      </c>
      <c r="BB172">
        <v>1.4796348820084225E-5</v>
      </c>
      <c r="BD172">
        <f t="shared" si="53"/>
        <v>9.879907855063201E-5</v>
      </c>
      <c r="BF172">
        <f t="shared" si="54"/>
        <v>1.0880674868413368E-4</v>
      </c>
      <c r="BH172">
        <f t="shared" si="45"/>
        <v>1.3344469494415493E-4</v>
      </c>
      <c r="BJ172">
        <f t="shared" si="46"/>
        <v>9.4541784336660481E-2</v>
      </c>
      <c r="BL172" s="1">
        <f t="shared" si="47"/>
        <v>8.7206812403898271E-2</v>
      </c>
      <c r="BN172">
        <f t="shared" si="48"/>
        <v>0.11794852346560356</v>
      </c>
      <c r="BP172">
        <v>10.652552305306072</v>
      </c>
      <c r="BQ172" s="4">
        <v>78.96999999999997</v>
      </c>
      <c r="BR172">
        <v>11.1</v>
      </c>
      <c r="BT172" s="1">
        <v>2.6825999999999999E-7</v>
      </c>
      <c r="BV172" s="11">
        <f t="shared" si="49"/>
        <v>9.5153746363214999</v>
      </c>
    </row>
    <row r="173" spans="1:74" x14ac:dyDescent="0.25">
      <c r="A173" t="s">
        <v>173</v>
      </c>
      <c r="B173" t="s">
        <v>5</v>
      </c>
      <c r="C173" s="1">
        <v>7.2899999999999996E-3</v>
      </c>
      <c r="D173">
        <v>4.3728896624543366E-8</v>
      </c>
      <c r="F173" t="s">
        <v>173</v>
      </c>
      <c r="G173" t="s">
        <v>6</v>
      </c>
      <c r="H173" s="1">
        <v>5.0899999999999999E-3</v>
      </c>
      <c r="I173">
        <v>3.0556662121377067E-8</v>
      </c>
      <c r="K173" t="s">
        <v>173</v>
      </c>
      <c r="L173" t="s">
        <v>7</v>
      </c>
      <c r="M173" s="1">
        <v>4.7000000000000002E-3</v>
      </c>
      <c r="N173">
        <v>2.818754334808197E-8</v>
      </c>
      <c r="P173" t="s">
        <v>173</v>
      </c>
      <c r="Q173" t="s">
        <v>446</v>
      </c>
      <c r="R173">
        <v>1.9869810668448757E-8</v>
      </c>
      <c r="T173">
        <f t="shared" si="50"/>
        <v>1.3172234503166299E-8</v>
      </c>
      <c r="V173" s="1">
        <f t="shared" si="51"/>
        <v>1.5541353276461396E-8</v>
      </c>
      <c r="X173">
        <f t="shared" si="43"/>
        <v>2.3859085956094609E-8</v>
      </c>
      <c r="AA173" t="s">
        <v>390</v>
      </c>
      <c r="AB173" t="s">
        <v>224</v>
      </c>
      <c r="AC173">
        <v>350</v>
      </c>
      <c r="AD173" s="1">
        <v>1.64853861812393E-4</v>
      </c>
      <c r="AE173" s="1">
        <v>1.65128645000827E-6</v>
      </c>
      <c r="AF173" s="1">
        <v>6.1879761000137897E-6</v>
      </c>
      <c r="AG173">
        <f t="shared" si="55"/>
        <v>1.6497822144032797E-4</v>
      </c>
      <c r="AI173" t="s">
        <v>390</v>
      </c>
      <c r="AJ173" t="s">
        <v>224</v>
      </c>
      <c r="AK173">
        <v>550</v>
      </c>
      <c r="AL173" s="1">
        <v>5.9537154401892702E-5</v>
      </c>
      <c r="AM173" s="1">
        <v>1.8448226000248099E-6</v>
      </c>
      <c r="AN173" s="1">
        <v>5.1153245006056399E-6</v>
      </c>
      <c r="AO173">
        <f t="shared" si="56"/>
        <v>5.97849702638286E-5</v>
      </c>
      <c r="AQ173" t="s">
        <v>390</v>
      </c>
      <c r="AR173" t="s">
        <v>224</v>
      </c>
      <c r="AS173">
        <v>600</v>
      </c>
      <c r="AT173" s="1">
        <v>4.7297664526975701E-5</v>
      </c>
      <c r="AU173" s="1">
        <v>1.9832213000661699E-6</v>
      </c>
      <c r="AV173" s="1">
        <v>5.1715721005771502E-6</v>
      </c>
      <c r="AW173">
        <f t="shared" si="52"/>
        <v>4.7620871416038159E-5</v>
      </c>
      <c r="AY173" t="s">
        <v>390</v>
      </c>
      <c r="AZ173" t="s">
        <v>224</v>
      </c>
      <c r="BA173">
        <v>800</v>
      </c>
      <c r="BB173">
        <v>1.9892189907553633E-5</v>
      </c>
      <c r="BD173">
        <f t="shared" si="53"/>
        <v>1.0519325117649937E-4</v>
      </c>
      <c r="BF173">
        <f t="shared" si="54"/>
        <v>1.1735735002428981E-4</v>
      </c>
      <c r="BH173">
        <f t="shared" si="45"/>
        <v>1.4508603153277433E-4</v>
      </c>
      <c r="BJ173">
        <f t="shared" si="46"/>
        <v>0.12521938770639532</v>
      </c>
      <c r="BL173" s="1">
        <f t="shared" si="47"/>
        <v>0.13242760912073046</v>
      </c>
      <c r="BN173">
        <f t="shared" si="48"/>
        <v>0.16444785003789245</v>
      </c>
      <c r="BP173">
        <v>14.873649691977228</v>
      </c>
      <c r="BQ173" s="3">
        <v>79</v>
      </c>
      <c r="BR173">
        <v>11.3</v>
      </c>
      <c r="BT173" s="1">
        <v>2.8639000000000001E-7</v>
      </c>
      <c r="BV173" s="11">
        <f t="shared" si="49"/>
        <v>13.512391705642862</v>
      </c>
    </row>
    <row r="174" spans="1:74" x14ac:dyDescent="0.25">
      <c r="A174" t="s">
        <v>174</v>
      </c>
      <c r="B174" t="s">
        <v>5</v>
      </c>
      <c r="C174" s="1">
        <v>4.8900000000000002E-3</v>
      </c>
      <c r="D174">
        <v>2.9378400228739479E-8</v>
      </c>
      <c r="F174" t="s">
        <v>174</v>
      </c>
      <c r="G174" t="s">
        <v>6</v>
      </c>
      <c r="H174" s="1">
        <v>3.3600000000000001E-3</v>
      </c>
      <c r="I174">
        <v>2.0149689823915405E-8</v>
      </c>
      <c r="K174" t="s">
        <v>174</v>
      </c>
      <c r="L174" t="s">
        <v>7</v>
      </c>
      <c r="M174" s="1">
        <v>3.16E-3</v>
      </c>
      <c r="N174">
        <v>1.8937594884250745E-8</v>
      </c>
      <c r="P174" t="s">
        <v>174</v>
      </c>
      <c r="Q174" t="s">
        <v>446</v>
      </c>
      <c r="R174">
        <v>1.4497759447583617E-8</v>
      </c>
      <c r="T174">
        <f t="shared" si="50"/>
        <v>9.2287104048240741E-9</v>
      </c>
      <c r="V174" s="1">
        <f t="shared" si="51"/>
        <v>1.0440805344488734E-8</v>
      </c>
      <c r="X174">
        <f t="shared" si="43"/>
        <v>1.4880640781155862E-8</v>
      </c>
      <c r="AA174" t="s">
        <v>391</v>
      </c>
      <c r="AB174" t="s">
        <v>224</v>
      </c>
      <c r="AC174">
        <v>350</v>
      </c>
      <c r="AD174" s="1">
        <v>1.54818988179777E-4</v>
      </c>
      <c r="AE174" s="1">
        <v>4.0334463202448303E-6</v>
      </c>
      <c r="AF174" s="1">
        <v>3.9557111504411298E-6</v>
      </c>
      <c r="AG174">
        <f t="shared" si="55"/>
        <v>1.5492203019885179E-4</v>
      </c>
      <c r="AI174" t="s">
        <v>391</v>
      </c>
      <c r="AJ174" t="s">
        <v>224</v>
      </c>
      <c r="AK174">
        <v>550</v>
      </c>
      <c r="AL174" s="1">
        <v>5.2638408212614E-5</v>
      </c>
      <c r="AM174" s="1">
        <v>3.2922361700215101E-6</v>
      </c>
      <c r="AN174" s="1">
        <v>1.3794230500064301E-6</v>
      </c>
      <c r="AO174">
        <f t="shared" si="56"/>
        <v>5.275929914344841E-5</v>
      </c>
      <c r="AQ174" t="s">
        <v>391</v>
      </c>
      <c r="AR174" t="s">
        <v>224</v>
      </c>
      <c r="AS174">
        <v>600</v>
      </c>
      <c r="AT174" s="1">
        <v>4.1793995960636999E-5</v>
      </c>
      <c r="AU174" s="1">
        <v>2.58563802994541E-6</v>
      </c>
      <c r="AV174" s="1">
        <v>2.72763855009098E-6</v>
      </c>
      <c r="AW174">
        <f t="shared" si="52"/>
        <v>4.1962645703525224E-5</v>
      </c>
      <c r="AY174" t="s">
        <v>391</v>
      </c>
      <c r="AZ174" t="s">
        <v>224</v>
      </c>
      <c r="BA174">
        <v>800</v>
      </c>
      <c r="BB174">
        <v>1.8322028697459822E-5</v>
      </c>
      <c r="BD174">
        <f t="shared" si="53"/>
        <v>1.0216273105540338E-4</v>
      </c>
      <c r="BF174">
        <f t="shared" si="54"/>
        <v>1.1295938449532657E-4</v>
      </c>
      <c r="BH174">
        <f t="shared" si="45"/>
        <v>1.3660000150139196E-4</v>
      </c>
      <c r="BJ174">
        <f t="shared" si="46"/>
        <v>9.0333434800399931E-2</v>
      </c>
      <c r="BL174" s="1">
        <f t="shared" si="47"/>
        <v>9.2429729421203574E-2</v>
      </c>
      <c r="BN174">
        <f t="shared" si="48"/>
        <v>0.10893587567789469</v>
      </c>
      <c r="BP174">
        <v>10.540637840394178</v>
      </c>
      <c r="BQ174" s="4">
        <v>79.02</v>
      </c>
      <c r="BR174">
        <v>11.43</v>
      </c>
      <c r="BT174" s="1">
        <v>2.6118000000000001E-7</v>
      </c>
      <c r="BV174" s="11">
        <f t="shared" si="49"/>
        <v>9.8410626155255532</v>
      </c>
    </row>
    <row r="175" spans="1:74" x14ac:dyDescent="0.25">
      <c r="A175" t="s">
        <v>175</v>
      </c>
      <c r="B175" t="s">
        <v>5</v>
      </c>
      <c r="C175" s="1">
        <v>4.3699999999999998E-3</v>
      </c>
      <c r="D175">
        <v>2.6247849435715683E-8</v>
      </c>
      <c r="F175" t="s">
        <v>175</v>
      </c>
      <c r="G175" t="s">
        <v>6</v>
      </c>
      <c r="H175" s="1">
        <v>2.8800000000000002E-3</v>
      </c>
      <c r="I175">
        <v>1.7242277578382735E-8</v>
      </c>
      <c r="K175" t="s">
        <v>175</v>
      </c>
      <c r="L175" t="s">
        <v>7</v>
      </c>
      <c r="M175" s="1">
        <v>3.0599999999999998E-3</v>
      </c>
      <c r="N175">
        <v>1.8346525556627883E-8</v>
      </c>
      <c r="P175" t="s">
        <v>175</v>
      </c>
      <c r="Q175" t="s">
        <v>446</v>
      </c>
      <c r="R175">
        <v>1.2256528872401028E-8</v>
      </c>
      <c r="T175">
        <f t="shared" si="50"/>
        <v>9.0055718573329476E-9</v>
      </c>
      <c r="V175" s="1">
        <f t="shared" si="51"/>
        <v>7.9013238790878002E-9</v>
      </c>
      <c r="X175">
        <f t="shared" si="43"/>
        <v>1.3991320563314655E-8</v>
      </c>
      <c r="AA175" t="s">
        <v>392</v>
      </c>
      <c r="AB175" t="s">
        <v>224</v>
      </c>
      <c r="AC175">
        <v>350</v>
      </c>
      <c r="AD175" s="1">
        <v>1.41737100502883E-4</v>
      </c>
      <c r="AE175" s="1">
        <v>4.0064080000330899E-6</v>
      </c>
      <c r="AF175" s="1">
        <v>3.7140685005422301E-6</v>
      </c>
      <c r="AG175">
        <f t="shared" si="55"/>
        <v>1.4184234652900313E-4</v>
      </c>
      <c r="AI175" t="s">
        <v>392</v>
      </c>
      <c r="AJ175" t="s">
        <v>224</v>
      </c>
      <c r="AK175">
        <v>550</v>
      </c>
      <c r="AL175" s="1">
        <v>4.97965981558961E-5</v>
      </c>
      <c r="AM175" s="1">
        <v>3.9757678602713004E-6</v>
      </c>
      <c r="AN175" s="1">
        <v>2.6324123504025398E-6</v>
      </c>
      <c r="AO175">
        <f t="shared" si="56"/>
        <v>5.0024369189037381E-5</v>
      </c>
      <c r="AQ175" t="s">
        <v>392</v>
      </c>
      <c r="AR175" t="s">
        <v>224</v>
      </c>
      <c r="AS175">
        <v>600</v>
      </c>
      <c r="AT175" s="1">
        <v>4.3107655363046999E-5</v>
      </c>
      <c r="AU175" s="1">
        <v>3.9243309101224204E-6</v>
      </c>
      <c r="AV175" s="1">
        <v>1.71185130003125E-6</v>
      </c>
      <c r="AW175">
        <f t="shared" si="52"/>
        <v>4.3319750217017588E-5</v>
      </c>
      <c r="AY175" t="s">
        <v>392</v>
      </c>
      <c r="AZ175" t="s">
        <v>224</v>
      </c>
      <c r="BA175">
        <v>800</v>
      </c>
      <c r="BB175">
        <v>1.5836415452066875E-5</v>
      </c>
      <c r="BD175">
        <f t="shared" si="53"/>
        <v>9.1817977339965745E-5</v>
      </c>
      <c r="BF175">
        <f t="shared" si="54"/>
        <v>9.8522596311985538E-5</v>
      </c>
      <c r="BH175">
        <f t="shared" si="45"/>
        <v>1.2600593107693625E-4</v>
      </c>
      <c r="BJ175">
        <f t="shared" si="46"/>
        <v>9.8080703999706587E-2</v>
      </c>
      <c r="BL175" s="1">
        <f t="shared" si="47"/>
        <v>8.0198088305216367E-2</v>
      </c>
      <c r="BN175">
        <f t="shared" si="48"/>
        <v>0.11103699995496151</v>
      </c>
      <c r="BP175">
        <v>10.022303302527094</v>
      </c>
      <c r="BQ175" s="4">
        <v>79.039999999999992</v>
      </c>
      <c r="BR175">
        <v>10.33</v>
      </c>
      <c r="BT175" s="1">
        <v>2.7052999999999997E-7</v>
      </c>
      <c r="BV175" s="11">
        <f t="shared" si="49"/>
        <v>9.3924301101093004</v>
      </c>
    </row>
    <row r="176" spans="1:74" x14ac:dyDescent="0.25">
      <c r="A176" t="s">
        <v>176</v>
      </c>
      <c r="B176" t="s">
        <v>5</v>
      </c>
      <c r="C176" s="1">
        <v>4.64E-3</v>
      </c>
      <c r="D176">
        <v>2.7817169158632947E-8</v>
      </c>
      <c r="F176" t="s">
        <v>176</v>
      </c>
      <c r="G176" t="s">
        <v>6</v>
      </c>
      <c r="H176" s="1">
        <v>3.2100000000000002E-3</v>
      </c>
      <c r="I176">
        <v>1.9210890687315879E-8</v>
      </c>
      <c r="K176" t="s">
        <v>176</v>
      </c>
      <c r="L176" t="s">
        <v>7</v>
      </c>
      <c r="M176" s="1">
        <v>3.0799999999999998E-3</v>
      </c>
      <c r="N176">
        <v>1.8500700554303342E-8</v>
      </c>
      <c r="P176" t="s">
        <v>176</v>
      </c>
      <c r="Q176" t="s">
        <v>446</v>
      </c>
      <c r="R176">
        <v>1.2595736739071677E-8</v>
      </c>
      <c r="T176">
        <f t="shared" si="50"/>
        <v>8.6062784713170678E-9</v>
      </c>
      <c r="V176" s="1">
        <f t="shared" si="51"/>
        <v>9.3164686043296049E-9</v>
      </c>
      <c r="X176">
        <f t="shared" si="43"/>
        <v>1.522143241956127E-8</v>
      </c>
      <c r="AA176" t="s">
        <v>393</v>
      </c>
      <c r="AB176" t="s">
        <v>224</v>
      </c>
      <c r="AC176">
        <v>350</v>
      </c>
      <c r="AD176" s="1">
        <v>1.3893482761363399E-4</v>
      </c>
      <c r="AE176" s="1">
        <v>1.60300726003143E-6</v>
      </c>
      <c r="AF176" s="1">
        <v>3.6990197999678402E-6</v>
      </c>
      <c r="AG176">
        <f t="shared" si="55"/>
        <v>1.3899330452862274E-4</v>
      </c>
      <c r="AI176" t="s">
        <v>393</v>
      </c>
      <c r="AJ176" t="s">
        <v>224</v>
      </c>
      <c r="AK176">
        <v>550</v>
      </c>
      <c r="AL176" s="1">
        <v>4.7787942878112502E-5</v>
      </c>
      <c r="AM176" s="1">
        <v>1.0448238400182E-6</v>
      </c>
      <c r="AN176" s="1">
        <v>2.50277150051741E-6</v>
      </c>
      <c r="AO176">
        <f t="shared" si="56"/>
        <v>4.7864841027232253E-5</v>
      </c>
      <c r="AQ176" t="s">
        <v>393</v>
      </c>
      <c r="AR176" t="s">
        <v>224</v>
      </c>
      <c r="AS176">
        <v>600</v>
      </c>
      <c r="AT176" s="1">
        <v>4.0683196628072999E-5</v>
      </c>
      <c r="AU176" s="1">
        <v>8.6507822001323401E-7</v>
      </c>
      <c r="AV176" s="1">
        <v>2.0880688005220102E-6</v>
      </c>
      <c r="AW176">
        <f t="shared" si="52"/>
        <v>4.0745930833899289E-5</v>
      </c>
      <c r="AY176" t="s">
        <v>393</v>
      </c>
      <c r="AZ176" t="s">
        <v>224</v>
      </c>
      <c r="BA176">
        <v>800</v>
      </c>
      <c r="BB176">
        <v>1.8568537581258655E-5</v>
      </c>
      <c r="BD176">
        <f t="shared" si="53"/>
        <v>9.1128463501390479E-5</v>
      </c>
      <c r="BF176">
        <f t="shared" si="54"/>
        <v>9.824737369472345E-5</v>
      </c>
      <c r="BH176">
        <f t="shared" si="45"/>
        <v>1.2042476694736408E-4</v>
      </c>
      <c r="BJ176">
        <f t="shared" si="46"/>
        <v>9.4441167343787699E-2</v>
      </c>
      <c r="BL176" s="1">
        <f t="shared" si="47"/>
        <v>9.482664272816041E-2</v>
      </c>
      <c r="BN176">
        <f t="shared" si="48"/>
        <v>0.12639785656562105</v>
      </c>
      <c r="BP176">
        <v>9.8023978133703036</v>
      </c>
      <c r="BQ176" s="4">
        <v>79.059999999999988</v>
      </c>
      <c r="BR176">
        <v>9.82</v>
      </c>
      <c r="BT176" s="1">
        <v>2.7314999999999998E-7</v>
      </c>
      <c r="BV176" s="11">
        <f t="shared" si="49"/>
        <v>10.370512967119648</v>
      </c>
    </row>
    <row r="177" spans="1:74" x14ac:dyDescent="0.25">
      <c r="A177" t="s">
        <v>177</v>
      </c>
      <c r="B177" t="s">
        <v>5</v>
      </c>
      <c r="C177" s="1">
        <v>3.7699999999999999E-3</v>
      </c>
      <c r="D177">
        <v>2.2615693666124858E-8</v>
      </c>
      <c r="F177" t="s">
        <v>177</v>
      </c>
      <c r="G177" t="s">
        <v>6</v>
      </c>
      <c r="H177" s="1">
        <v>2.5699999999999998E-3</v>
      </c>
      <c r="I177">
        <v>1.5424480542306767E-8</v>
      </c>
      <c r="K177" t="s">
        <v>177</v>
      </c>
      <c r="L177" t="s">
        <v>7</v>
      </c>
      <c r="M177" s="1">
        <v>2.5200000000000001E-3</v>
      </c>
      <c r="N177">
        <v>1.5152065765432777E-8</v>
      </c>
      <c r="P177" t="s">
        <v>177</v>
      </c>
      <c r="Q177" t="s">
        <v>446</v>
      </c>
      <c r="R177">
        <v>9.1223352273417354E-9</v>
      </c>
      <c r="T177">
        <f t="shared" si="50"/>
        <v>7.1912131238180914E-9</v>
      </c>
      <c r="V177" s="1">
        <f t="shared" si="51"/>
        <v>7.4636279006920809E-9</v>
      </c>
      <c r="X177">
        <f t="shared" si="43"/>
        <v>1.3493358438783123E-8</v>
      </c>
      <c r="AA177" t="s">
        <v>394</v>
      </c>
      <c r="AB177" t="s">
        <v>224</v>
      </c>
      <c r="AC177">
        <v>350</v>
      </c>
      <c r="AD177" s="1">
        <v>1.27911967478421E-4</v>
      </c>
      <c r="AE177" s="1">
        <v>3.1380486700132298E-6</v>
      </c>
      <c r="AF177" s="1">
        <v>4.2094421004944399E-6</v>
      </c>
      <c r="AG177">
        <f t="shared" si="55"/>
        <v>1.2801967886404584E-4</v>
      </c>
      <c r="AI177" t="s">
        <v>394</v>
      </c>
      <c r="AJ177" t="s">
        <v>224</v>
      </c>
      <c r="AK177">
        <v>550</v>
      </c>
      <c r="AL177" s="1">
        <v>4.63366110640513E-5</v>
      </c>
      <c r="AM177" s="1">
        <v>3.87494156998842E-6</v>
      </c>
      <c r="AN177" s="1">
        <v>2.7001314999549702E-6</v>
      </c>
      <c r="AO177">
        <f t="shared" si="56"/>
        <v>4.6576683084876649E-5</v>
      </c>
      <c r="AQ177" t="s">
        <v>394</v>
      </c>
      <c r="AR177" t="s">
        <v>224</v>
      </c>
      <c r="AS177">
        <v>600</v>
      </c>
      <c r="AT177" s="1">
        <v>3.8501842737782102E-5</v>
      </c>
      <c r="AU177" s="1">
        <v>4.1996234400016601E-6</v>
      </c>
      <c r="AV177" s="1">
        <v>2.4146995999990799E-6</v>
      </c>
      <c r="AW177">
        <f t="shared" si="52"/>
        <v>3.8805405620879053E-5</v>
      </c>
      <c r="AY177" t="s">
        <v>394</v>
      </c>
      <c r="AZ177" t="s">
        <v>224</v>
      </c>
      <c r="BA177">
        <v>800</v>
      </c>
      <c r="BB177">
        <v>1.7509365851581639E-5</v>
      </c>
      <c r="BD177">
        <f t="shared" si="53"/>
        <v>8.1442995779169188E-5</v>
      </c>
      <c r="BF177">
        <f t="shared" si="54"/>
        <v>8.9214273243166784E-5</v>
      </c>
      <c r="BH177">
        <f t="shared" si="45"/>
        <v>1.105103130124642E-4</v>
      </c>
      <c r="BJ177">
        <f t="shared" si="46"/>
        <v>8.8297502504904174E-2</v>
      </c>
      <c r="BL177" s="1">
        <f t="shared" si="47"/>
        <v>8.3659571830494564E-2</v>
      </c>
      <c r="BN177">
        <f t="shared" si="48"/>
        <v>0.12210044538794528</v>
      </c>
      <c r="BP177">
        <v>9.4495179735368726</v>
      </c>
      <c r="BQ177" s="4">
        <v>79.079999999999984</v>
      </c>
      <c r="BR177">
        <v>9.4</v>
      </c>
      <c r="BT177" s="1">
        <v>2.6917999999999998E-7</v>
      </c>
      <c r="BV177" s="11">
        <f t="shared" si="49"/>
        <v>8.9379777773177409</v>
      </c>
    </row>
    <row r="178" spans="1:74" x14ac:dyDescent="0.25">
      <c r="A178" t="s">
        <v>178</v>
      </c>
      <c r="B178" t="s">
        <v>5</v>
      </c>
      <c r="C178" s="1">
        <v>6.11E-3</v>
      </c>
      <c r="D178">
        <v>3.6662318530065717E-8</v>
      </c>
      <c r="F178" t="s">
        <v>178</v>
      </c>
      <c r="G178" t="s">
        <v>6</v>
      </c>
      <c r="H178" s="1">
        <v>4.2199999999999998E-3</v>
      </c>
      <c r="I178">
        <v>2.5289831948828764E-8</v>
      </c>
      <c r="K178" t="s">
        <v>178</v>
      </c>
      <c r="L178" t="s">
        <v>7</v>
      </c>
      <c r="M178" s="1">
        <v>3.8300000000000001E-3</v>
      </c>
      <c r="N178">
        <v>2.2948856180646564E-8</v>
      </c>
      <c r="P178" t="s">
        <v>178</v>
      </c>
      <c r="Q178" t="s">
        <v>446</v>
      </c>
      <c r="R178">
        <v>1.6199681819097559E-8</v>
      </c>
      <c r="T178">
        <f t="shared" si="50"/>
        <v>1.1372486581236953E-8</v>
      </c>
      <c r="V178" s="1">
        <f t="shared" si="51"/>
        <v>1.3713462349419153E-8</v>
      </c>
      <c r="X178">
        <f t="shared" si="43"/>
        <v>2.0462636710968158E-8</v>
      </c>
      <c r="AA178" t="s">
        <v>395</v>
      </c>
      <c r="AB178" t="s">
        <v>224</v>
      </c>
      <c r="AC178">
        <v>350</v>
      </c>
      <c r="AD178" s="1">
        <v>1.6566826517894499E-4</v>
      </c>
      <c r="AE178" s="1">
        <v>1.25538228998511E-6</v>
      </c>
      <c r="AF178" s="1">
        <v>5.5984864504108097E-6</v>
      </c>
      <c r="AG178">
        <f t="shared" si="55"/>
        <v>1.6576758767211002E-4</v>
      </c>
      <c r="AI178" t="s">
        <v>395</v>
      </c>
      <c r="AJ178" t="s">
        <v>224</v>
      </c>
      <c r="AK178">
        <v>550</v>
      </c>
      <c r="AL178" s="1">
        <v>5.6065049653960698E-5</v>
      </c>
      <c r="AM178" s="1">
        <v>1.58411004004301E-6</v>
      </c>
      <c r="AN178" s="1">
        <v>4.2970206004852498E-6</v>
      </c>
      <c r="AO178">
        <f t="shared" si="56"/>
        <v>5.6251787379256122E-5</v>
      </c>
      <c r="AQ178" t="s">
        <v>395</v>
      </c>
      <c r="AR178" t="s">
        <v>224</v>
      </c>
      <c r="AS178">
        <v>600</v>
      </c>
      <c r="AT178" s="1">
        <v>4.66069584810029E-5</v>
      </c>
      <c r="AU178" s="1">
        <v>2.3064476402415201E-6</v>
      </c>
      <c r="AV178" s="1">
        <v>4.5704875503933499E-6</v>
      </c>
      <c r="AW178">
        <f t="shared" si="52"/>
        <v>4.6887286507276197E-5</v>
      </c>
      <c r="AY178" t="s">
        <v>395</v>
      </c>
      <c r="AZ178" t="s">
        <v>224</v>
      </c>
      <c r="BA178">
        <v>800</v>
      </c>
      <c r="BB178">
        <v>1.8981240458711963E-5</v>
      </c>
      <c r="BD178">
        <f t="shared" si="53"/>
        <v>1.095158002928539E-4</v>
      </c>
      <c r="BF178">
        <f t="shared" si="54"/>
        <v>1.1888030116483382E-4</v>
      </c>
      <c r="BH178">
        <f t="shared" si="45"/>
        <v>1.4678634721339805E-4</v>
      </c>
      <c r="BJ178">
        <f t="shared" si="46"/>
        <v>0.10384334087707915</v>
      </c>
      <c r="BL178" s="1">
        <f t="shared" si="47"/>
        <v>0.11535521204984764</v>
      </c>
      <c r="BN178">
        <f t="shared" si="48"/>
        <v>0.1394042232089853</v>
      </c>
      <c r="BP178">
        <v>12.30500286066987</v>
      </c>
      <c r="BQ178" s="4">
        <v>79.09999999999998</v>
      </c>
      <c r="BR178">
        <v>11.43</v>
      </c>
      <c r="BT178" s="1">
        <v>2.8955E-7</v>
      </c>
      <c r="BV178" s="11">
        <f t="shared" si="49"/>
        <v>11.077713442893547</v>
      </c>
    </row>
    <row r="179" spans="1:74" x14ac:dyDescent="0.25">
      <c r="A179" t="s">
        <v>179</v>
      </c>
      <c r="B179" t="s">
        <v>5</v>
      </c>
      <c r="C179" s="1">
        <v>6.45E-3</v>
      </c>
      <c r="D179">
        <v>3.8691192796294093E-8</v>
      </c>
      <c r="F179" t="s">
        <v>179</v>
      </c>
      <c r="G179" t="s">
        <v>6</v>
      </c>
      <c r="H179" s="1">
        <v>4.28E-3</v>
      </c>
      <c r="I179">
        <v>2.572668670855227E-8</v>
      </c>
      <c r="K179" t="s">
        <v>179</v>
      </c>
      <c r="L179" t="s">
        <v>7</v>
      </c>
      <c r="M179" s="1">
        <v>4.1099999999999999E-3</v>
      </c>
      <c r="N179">
        <v>2.4654018435135479E-8</v>
      </c>
      <c r="P179" t="s">
        <v>179</v>
      </c>
      <c r="Q179" t="s">
        <v>446</v>
      </c>
      <c r="R179">
        <v>1.7380366624441501E-8</v>
      </c>
      <c r="T179">
        <f t="shared" si="50"/>
        <v>1.2964506087741822E-8</v>
      </c>
      <c r="V179" s="1">
        <f t="shared" si="51"/>
        <v>1.4037174361158614E-8</v>
      </c>
      <c r="X179">
        <f t="shared" si="43"/>
        <v>2.1310826171852591E-8</v>
      </c>
      <c r="AA179" t="s">
        <v>396</v>
      </c>
      <c r="AB179" t="s">
        <v>224</v>
      </c>
      <c r="AC179">
        <v>350</v>
      </c>
      <c r="AD179" s="1">
        <v>1.7152900641510501E-4</v>
      </c>
      <c r="AE179" s="1">
        <v>4.6184953700380503E-6</v>
      </c>
      <c r="AF179" s="1">
        <v>3.8275504998961504E-6</v>
      </c>
      <c r="AG179">
        <f t="shared" si="55"/>
        <v>1.7163385646213703E-4</v>
      </c>
      <c r="AI179" t="s">
        <v>396</v>
      </c>
      <c r="AJ179" t="s">
        <v>224</v>
      </c>
      <c r="AK179">
        <v>550</v>
      </c>
      <c r="AL179" s="1">
        <v>5.4334304279267098E-5</v>
      </c>
      <c r="AM179">
        <v>4.4059386499999998E-6</v>
      </c>
      <c r="AN179" s="1">
        <v>2.2172162504227499E-6</v>
      </c>
      <c r="AO179">
        <f t="shared" si="56"/>
        <v>5.4557721404038543E-5</v>
      </c>
      <c r="AQ179" t="s">
        <v>396</v>
      </c>
      <c r="AR179" t="s">
        <v>224</v>
      </c>
      <c r="AS179">
        <v>600</v>
      </c>
      <c r="AT179" s="1">
        <v>4.71858195035415E-5</v>
      </c>
      <c r="AU179" s="1">
        <v>3.9307451100148898E-6</v>
      </c>
      <c r="AV179" s="1">
        <v>2.3315617004769802E-6</v>
      </c>
      <c r="AW179">
        <f t="shared" si="52"/>
        <v>4.7406629275912824E-5</v>
      </c>
      <c r="AY179" t="s">
        <v>396</v>
      </c>
      <c r="AZ179" t="s">
        <v>224</v>
      </c>
      <c r="BA179">
        <v>800</v>
      </c>
      <c r="BB179">
        <v>1.7968386737905905E-5</v>
      </c>
      <c r="BD179">
        <f t="shared" si="53"/>
        <v>1.1707613505809848E-4</v>
      </c>
      <c r="BF179">
        <f t="shared" si="54"/>
        <v>1.2422722718622421E-4</v>
      </c>
      <c r="BH179">
        <f t="shared" si="45"/>
        <v>1.5366546972423112E-4</v>
      </c>
      <c r="BJ179">
        <f t="shared" si="46"/>
        <v>0.11073568564001748</v>
      </c>
      <c r="BL179" s="1">
        <f t="shared" si="47"/>
        <v>0.11299595651536222</v>
      </c>
      <c r="BN179">
        <f t="shared" si="48"/>
        <v>0.1386832462107272</v>
      </c>
      <c r="BP179">
        <v>12.502642197787255</v>
      </c>
      <c r="BQ179" s="4">
        <v>79.119999999999976</v>
      </c>
      <c r="BR179">
        <v>11.66</v>
      </c>
      <c r="BT179" s="1">
        <v>2.9635999999999999E-7</v>
      </c>
      <c r="BV179" s="11">
        <f t="shared" si="49"/>
        <v>11.196801580241086</v>
      </c>
    </row>
    <row r="180" spans="1:74" x14ac:dyDescent="0.25">
      <c r="A180" t="s">
        <v>180</v>
      </c>
      <c r="B180" t="s">
        <v>5</v>
      </c>
      <c r="C180" s="1">
        <v>5.9899999999999997E-3</v>
      </c>
      <c r="D180">
        <v>3.5917685059034636E-8</v>
      </c>
      <c r="F180" t="s">
        <v>180</v>
      </c>
      <c r="G180" t="s">
        <v>6</v>
      </c>
      <c r="H180" s="1">
        <v>4.0800000000000003E-3</v>
      </c>
      <c r="I180">
        <v>2.4457309745759036E-8</v>
      </c>
      <c r="K180" t="s">
        <v>180</v>
      </c>
      <c r="L180" t="s">
        <v>7</v>
      </c>
      <c r="M180" s="1">
        <v>3.9300000000000003E-3</v>
      </c>
      <c r="N180">
        <v>2.3552046620198423E-8</v>
      </c>
      <c r="P180" t="s">
        <v>180</v>
      </c>
      <c r="Q180" t="s">
        <v>446</v>
      </c>
      <c r="R180">
        <v>1.8899063468860036E-8</v>
      </c>
      <c r="T180">
        <f t="shared" si="50"/>
        <v>1.1460375313275601E-8</v>
      </c>
      <c r="V180" s="1">
        <f t="shared" si="51"/>
        <v>1.2365638438836213E-8</v>
      </c>
      <c r="X180">
        <f t="shared" si="43"/>
        <v>1.70186215901746E-8</v>
      </c>
      <c r="AA180" t="s">
        <v>397</v>
      </c>
      <c r="AB180" t="s">
        <v>224</v>
      </c>
      <c r="AC180">
        <v>350</v>
      </c>
      <c r="AD180" s="1">
        <v>1.6906629305367001E-4</v>
      </c>
      <c r="AE180" s="1">
        <v>5.9630597100314303E-6</v>
      </c>
      <c r="AF180" s="1">
        <v>4.3055317505045503E-6</v>
      </c>
      <c r="AG180">
        <f t="shared" ref="AG180:AG208" si="57">SQRT(AD180^2+AE180^2+AF180^2)</f>
        <v>1.6922620107911608E-4</v>
      </c>
      <c r="AI180" t="s">
        <v>397</v>
      </c>
      <c r="AJ180" t="s">
        <v>224</v>
      </c>
      <c r="AK180">
        <v>550</v>
      </c>
      <c r="AL180" s="1">
        <v>5.6197990016516599E-5</v>
      </c>
      <c r="AM180" s="1">
        <v>5.3592367900347403E-6</v>
      </c>
      <c r="AN180" s="1">
        <v>2.9813694998244701E-6</v>
      </c>
      <c r="AO180">
        <f t="shared" si="56"/>
        <v>5.6531620045445758E-5</v>
      </c>
      <c r="AQ180" t="s">
        <v>397</v>
      </c>
      <c r="AR180" t="s">
        <v>224</v>
      </c>
      <c r="AS180">
        <v>600</v>
      </c>
      <c r="AT180" s="1">
        <v>4.4940339366633299E-5</v>
      </c>
      <c r="AU180" s="1">
        <v>5.4932195600231604E-6</v>
      </c>
      <c r="AV180" s="1">
        <v>2.34019619980149E-6</v>
      </c>
      <c r="AW180">
        <f t="shared" si="52"/>
        <v>4.5335263115772882E-5</v>
      </c>
      <c r="AY180" t="s">
        <v>397</v>
      </c>
      <c r="AZ180" t="s">
        <v>224</v>
      </c>
      <c r="BA180">
        <v>800</v>
      </c>
      <c r="BB180">
        <v>1.9306229419831708E-5</v>
      </c>
      <c r="BD180">
        <f t="shared" si="53"/>
        <v>1.1269458103367033E-4</v>
      </c>
      <c r="BF180">
        <f t="shared" si="54"/>
        <v>1.2389093796334321E-4</v>
      </c>
      <c r="BH180">
        <f t="shared" si="45"/>
        <v>1.4991997165928438E-4</v>
      </c>
      <c r="BJ180">
        <f t="shared" si="46"/>
        <v>0.10169411171466644</v>
      </c>
      <c r="BL180" s="1">
        <f t="shared" si="47"/>
        <v>9.9810677375733098E-2</v>
      </c>
      <c r="BN180">
        <f t="shared" si="48"/>
        <v>0.11351804167127227</v>
      </c>
      <c r="BP180">
        <v>12.210659038988089</v>
      </c>
      <c r="BQ180" s="4">
        <v>79.139999999999972</v>
      </c>
      <c r="BR180">
        <v>11.64</v>
      </c>
      <c r="BT180" s="1">
        <v>2.9073000000000001E-7</v>
      </c>
      <c r="BV180" s="11">
        <f t="shared" si="49"/>
        <v>10.613668265508045</v>
      </c>
    </row>
    <row r="181" spans="1:74" x14ac:dyDescent="0.25">
      <c r="A181" t="s">
        <v>181</v>
      </c>
      <c r="B181" t="s">
        <v>5</v>
      </c>
      <c r="C181" s="1">
        <v>5.8100000000000001E-3</v>
      </c>
      <c r="D181">
        <v>3.4840386048377821E-8</v>
      </c>
      <c r="F181" t="s">
        <v>181</v>
      </c>
      <c r="G181" t="s">
        <v>6</v>
      </c>
      <c r="H181" s="1">
        <v>4.0600000000000002E-3</v>
      </c>
      <c r="I181">
        <v>2.4368294975233701E-8</v>
      </c>
      <c r="K181" t="s">
        <v>181</v>
      </c>
      <c r="L181" t="s">
        <v>7</v>
      </c>
      <c r="M181" s="1">
        <v>3.8600000000000001E-3</v>
      </c>
      <c r="N181">
        <v>2.3182729102502146E-8</v>
      </c>
      <c r="P181" t="s">
        <v>181</v>
      </c>
      <c r="Q181" t="s">
        <v>446</v>
      </c>
      <c r="R181">
        <v>1.7633164775501871E-8</v>
      </c>
      <c r="T181">
        <f t="shared" si="50"/>
        <v>1.0472091073144119E-8</v>
      </c>
      <c r="V181" s="1">
        <f t="shared" si="51"/>
        <v>1.1657656945875674E-8</v>
      </c>
      <c r="X181">
        <f t="shared" si="43"/>
        <v>1.720722127287595E-8</v>
      </c>
      <c r="AA181" t="s">
        <v>398</v>
      </c>
      <c r="AB181" t="s">
        <v>224</v>
      </c>
      <c r="AC181">
        <v>350</v>
      </c>
      <c r="AD181" s="1">
        <v>1.5749468914094699E-4</v>
      </c>
      <c r="AE181" s="1">
        <v>6.6050717900512803E-6</v>
      </c>
      <c r="AF181" s="1">
        <v>5.9528709998557097E-6</v>
      </c>
      <c r="AG181">
        <f t="shared" si="57"/>
        <v>1.5774549360947267E-4</v>
      </c>
      <c r="AI181" t="s">
        <v>398</v>
      </c>
      <c r="AJ181" t="s">
        <v>224</v>
      </c>
      <c r="AK181">
        <v>550</v>
      </c>
      <c r="AL181" s="1">
        <v>5.37534089141086E-5</v>
      </c>
      <c r="AM181" s="1">
        <v>5.8130414400099302E-6</v>
      </c>
      <c r="AN181" s="1">
        <v>4.0452632498897201E-6</v>
      </c>
      <c r="AO181">
        <f t="shared" si="56"/>
        <v>5.4217935920058331E-5</v>
      </c>
      <c r="AQ181" t="s">
        <v>398</v>
      </c>
      <c r="AR181" t="s">
        <v>224</v>
      </c>
      <c r="AS181">
        <v>600</v>
      </c>
      <c r="AT181" s="1">
        <v>4.3830911011815301E-5</v>
      </c>
      <c r="AU181" s="1">
        <v>5.6435338698891696E-6</v>
      </c>
      <c r="AV181" s="1">
        <v>3.6627549000174601E-6</v>
      </c>
      <c r="AW181">
        <f t="shared" si="52"/>
        <v>4.4344266913817167E-5</v>
      </c>
      <c r="AY181" t="s">
        <v>398</v>
      </c>
      <c r="AZ181" t="s">
        <v>224</v>
      </c>
      <c r="BA181">
        <v>800</v>
      </c>
      <c r="BB181">
        <v>1.8472129559781078E-5</v>
      </c>
      <c r="BD181">
        <f t="shared" si="53"/>
        <v>1.0352755768941434E-4</v>
      </c>
      <c r="BF181">
        <f t="shared" si="54"/>
        <v>1.134012266956555E-4</v>
      </c>
      <c r="BH181">
        <f t="shared" si="45"/>
        <v>1.392733640496916E-4</v>
      </c>
      <c r="BJ181">
        <f t="shared" si="46"/>
        <v>0.10115269119513756</v>
      </c>
      <c r="BL181" s="1">
        <f t="shared" si="47"/>
        <v>0.10280009560357155</v>
      </c>
      <c r="BN181">
        <f t="shared" si="48"/>
        <v>0.12354997949741886</v>
      </c>
      <c r="BP181">
        <v>12.137448055187811</v>
      </c>
      <c r="BQ181" s="4">
        <v>79.159999999999968</v>
      </c>
      <c r="BR181">
        <v>10.54</v>
      </c>
      <c r="BT181" s="1">
        <v>2.9979000000000001E-7</v>
      </c>
      <c r="BV181" s="11">
        <f t="shared" si="49"/>
        <v>11.026183239202869</v>
      </c>
    </row>
    <row r="182" spans="1:74" x14ac:dyDescent="0.25">
      <c r="A182" t="s">
        <v>182</v>
      </c>
      <c r="B182" t="s">
        <v>5</v>
      </c>
      <c r="C182" s="1">
        <v>4.5300000000000002E-3</v>
      </c>
      <c r="D182">
        <v>2.7221258236900073E-8</v>
      </c>
      <c r="F182" t="s">
        <v>182</v>
      </c>
      <c r="G182" t="s">
        <v>6</v>
      </c>
      <c r="H182" s="1">
        <v>2.8900000000000002E-3</v>
      </c>
      <c r="I182">
        <v>1.7343903828146649E-8</v>
      </c>
      <c r="K182" t="s">
        <v>182</v>
      </c>
      <c r="L182" t="s">
        <v>7</v>
      </c>
      <c r="M182" s="1">
        <v>2.7299999999999998E-3</v>
      </c>
      <c r="N182">
        <v>1.6337147853894202E-8</v>
      </c>
      <c r="P182" t="s">
        <v>182</v>
      </c>
      <c r="Q182" t="s">
        <v>446</v>
      </c>
      <c r="R182">
        <v>1.2695782764367071E-8</v>
      </c>
      <c r="T182">
        <f t="shared" si="50"/>
        <v>9.8773544087534239E-9</v>
      </c>
      <c r="V182" s="1">
        <f t="shared" si="51"/>
        <v>1.0884110383005871E-8</v>
      </c>
      <c r="X182">
        <f t="shared" si="43"/>
        <v>1.4525475472533002E-8</v>
      </c>
      <c r="AA182" t="s">
        <v>399</v>
      </c>
      <c r="AB182" t="s">
        <v>224</v>
      </c>
      <c r="AC182">
        <v>350</v>
      </c>
      <c r="AD182" s="1">
        <v>1.12270823286578E-4</v>
      </c>
      <c r="AE182" s="1">
        <v>3.8756076599487198E-6</v>
      </c>
      <c r="AF182" s="1">
        <v>2.3546281500358402E-6</v>
      </c>
      <c r="AG182">
        <f t="shared" si="57"/>
        <v>1.1236237079158138E-4</v>
      </c>
      <c r="AI182" t="s">
        <v>399</v>
      </c>
      <c r="AJ182" t="s">
        <v>224</v>
      </c>
      <c r="AK182">
        <v>550</v>
      </c>
      <c r="AL182" s="1">
        <v>3.84919363280512E-5</v>
      </c>
      <c r="AM182" s="1">
        <v>3.7418469200545899E-6</v>
      </c>
      <c r="AN182" s="1">
        <v>8.3791655055233701E-7</v>
      </c>
      <c r="AO182">
        <f t="shared" si="56"/>
        <v>3.8682459652942953E-5</v>
      </c>
      <c r="AQ182" t="s">
        <v>399</v>
      </c>
      <c r="AR182" t="s">
        <v>224</v>
      </c>
      <c r="AS182">
        <v>600</v>
      </c>
      <c r="AT182" s="1">
        <v>3.12404073033379E-5</v>
      </c>
      <c r="AU182" s="1">
        <v>3.9756445100397E-6</v>
      </c>
      <c r="AV182" s="1">
        <v>1.67607980052568E-6</v>
      </c>
      <c r="AW182">
        <f t="shared" si="52"/>
        <v>3.1536931386017679E-5</v>
      </c>
      <c r="AY182" t="s">
        <v>399</v>
      </c>
      <c r="AZ182" t="s">
        <v>224</v>
      </c>
      <c r="BA182">
        <v>800</v>
      </c>
      <c r="BB182">
        <v>1.4202182651468615E-5</v>
      </c>
      <c r="BD182">
        <f t="shared" si="53"/>
        <v>7.3679911138638425E-5</v>
      </c>
      <c r="BF182">
        <f t="shared" si="54"/>
        <v>8.0825439405563692E-5</v>
      </c>
      <c r="BH182">
        <f t="shared" si="45"/>
        <v>9.8160188140112764E-5</v>
      </c>
      <c r="BJ182">
        <f t="shared" si="46"/>
        <v>0.13405763193942899</v>
      </c>
      <c r="BL182" s="1">
        <f t="shared" si="47"/>
        <v>0.13466193890257594</v>
      </c>
      <c r="BN182">
        <f t="shared" si="48"/>
        <v>0.14797725786547494</v>
      </c>
      <c r="BP182">
        <v>13.672173278969046</v>
      </c>
      <c r="BQ182" s="3">
        <v>79.210000000000008</v>
      </c>
      <c r="BR182">
        <v>7.12</v>
      </c>
      <c r="BT182" s="1">
        <v>3.2089000000000001E-7</v>
      </c>
      <c r="BV182" s="11">
        <f t="shared" si="49"/>
        <v>11.914395669952036</v>
      </c>
    </row>
    <row r="183" spans="1:74" x14ac:dyDescent="0.25">
      <c r="A183" t="s">
        <v>183</v>
      </c>
      <c r="B183" t="s">
        <v>5</v>
      </c>
      <c r="C183" s="1">
        <v>6.5199999999999998E-3</v>
      </c>
      <c r="D183">
        <v>3.9121018647269394E-8</v>
      </c>
      <c r="F183" t="s">
        <v>183</v>
      </c>
      <c r="G183" t="s">
        <v>6</v>
      </c>
      <c r="H183" s="1">
        <v>4.2900000000000004E-3</v>
      </c>
      <c r="I183">
        <v>2.5737958349488406E-8</v>
      </c>
      <c r="K183" t="s">
        <v>183</v>
      </c>
      <c r="L183" t="s">
        <v>7</v>
      </c>
      <c r="M183" s="1">
        <v>3.8800000000000002E-3</v>
      </c>
      <c r="N183">
        <v>2.3271218274942117E-8</v>
      </c>
      <c r="P183" t="s">
        <v>183</v>
      </c>
      <c r="Q183" t="s">
        <v>446</v>
      </c>
      <c r="R183">
        <v>1.5484570546192104E-8</v>
      </c>
      <c r="T183">
        <f t="shared" si="50"/>
        <v>1.3383060297780988E-8</v>
      </c>
      <c r="V183" s="1">
        <f t="shared" si="51"/>
        <v>1.5849800372327277E-8</v>
      </c>
      <c r="X183">
        <f t="shared" si="43"/>
        <v>2.363644810107729E-8</v>
      </c>
      <c r="AA183" t="s">
        <v>400</v>
      </c>
      <c r="AB183" t="s">
        <v>224</v>
      </c>
      <c r="AC183">
        <v>350</v>
      </c>
      <c r="AD183" s="1">
        <v>1.4885493734778399E-4</v>
      </c>
      <c r="AE183" s="1">
        <v>3.9029173500496302E-6</v>
      </c>
      <c r="AF183" s="1">
        <v>2.3204602005624499E-6</v>
      </c>
      <c r="AG183">
        <f t="shared" si="57"/>
        <v>1.4892417423708083E-4</v>
      </c>
      <c r="AI183" t="s">
        <v>400</v>
      </c>
      <c r="AJ183" t="s">
        <v>224</v>
      </c>
      <c r="AK183">
        <v>550</v>
      </c>
      <c r="AL183" s="1">
        <v>4.9500334881354801E-5</v>
      </c>
      <c r="AM183" s="1">
        <v>4.0119834201538503E-6</v>
      </c>
      <c r="AN183" s="1">
        <v>1.8528403501295801E-6</v>
      </c>
      <c r="AO183">
        <f t="shared" si="56"/>
        <v>4.9697204968618997E-5</v>
      </c>
      <c r="AQ183" t="s">
        <v>400</v>
      </c>
      <c r="AR183" t="s">
        <v>224</v>
      </c>
      <c r="AS183">
        <v>600</v>
      </c>
      <c r="AT183" s="1">
        <v>4.0248818684403403E-5</v>
      </c>
      <c r="AU183" s="1">
        <v>4.63830538003639E-6</v>
      </c>
      <c r="AV183" s="1">
        <v>-5.6741000606559198E-9</v>
      </c>
      <c r="AW183">
        <f t="shared" si="52"/>
        <v>4.0515198561575216E-5</v>
      </c>
      <c r="AY183" t="s">
        <v>400</v>
      </c>
      <c r="AZ183" t="s">
        <v>224</v>
      </c>
      <c r="BA183">
        <v>800</v>
      </c>
      <c r="BB183">
        <v>1.5931826165738984E-5</v>
      </c>
      <c r="BD183">
        <f t="shared" si="53"/>
        <v>9.9226969268461826E-5</v>
      </c>
      <c r="BF183">
        <f t="shared" si="54"/>
        <v>1.0840897567550561E-4</v>
      </c>
      <c r="BH183">
        <f t="shared" si="45"/>
        <v>1.3299234807134184E-4</v>
      </c>
      <c r="BJ183">
        <f t="shared" si="46"/>
        <v>0.13487321437353064</v>
      </c>
      <c r="BL183" s="1">
        <f t="shared" si="47"/>
        <v>0.14620376471196977</v>
      </c>
      <c r="BN183">
        <f t="shared" si="48"/>
        <v>0.17772788016644278</v>
      </c>
      <c r="BP183">
        <v>14.952477762513407</v>
      </c>
      <c r="BQ183" s="4">
        <v>79.23</v>
      </c>
      <c r="BR183">
        <v>9.41</v>
      </c>
      <c r="BT183" s="1">
        <v>3.1143999999999999E-7</v>
      </c>
      <c r="BV183" s="11">
        <f t="shared" si="49"/>
        <v>13.348920310409387</v>
      </c>
    </row>
    <row r="184" spans="1:74" x14ac:dyDescent="0.25">
      <c r="A184" t="s">
        <v>184</v>
      </c>
      <c r="B184" t="s">
        <v>5</v>
      </c>
      <c r="C184" s="1">
        <v>4.5900000000000003E-3</v>
      </c>
      <c r="D184">
        <v>2.7538389495393519E-8</v>
      </c>
      <c r="F184" t="s">
        <v>184</v>
      </c>
      <c r="G184" t="s">
        <v>6</v>
      </c>
      <c r="H184" s="1">
        <v>3.0699999999999998E-3</v>
      </c>
      <c r="I184">
        <v>1.8427354557830594E-8</v>
      </c>
      <c r="K184" t="s">
        <v>184</v>
      </c>
      <c r="L184" t="s">
        <v>7</v>
      </c>
      <c r="M184" s="1">
        <v>2.6800000000000001E-3</v>
      </c>
      <c r="N184">
        <v>1.6055344904423573E-8</v>
      </c>
      <c r="P184" t="s">
        <v>184</v>
      </c>
      <c r="Q184" t="s">
        <v>446</v>
      </c>
      <c r="R184">
        <v>1.2031796873285388E-8</v>
      </c>
      <c r="T184">
        <f t="shared" si="50"/>
        <v>9.1110349375629243E-9</v>
      </c>
      <c r="V184" s="1">
        <f t="shared" si="51"/>
        <v>1.1483044590969946E-8</v>
      </c>
      <c r="X184">
        <f t="shared" si="43"/>
        <v>1.5506592622108129E-8</v>
      </c>
      <c r="AA184" t="s">
        <v>401</v>
      </c>
      <c r="AB184" t="s">
        <v>224</v>
      </c>
      <c r="AC184">
        <v>350</v>
      </c>
      <c r="AD184">
        <v>1.2870545242300001E-4</v>
      </c>
      <c r="AE184" s="1">
        <v>3.0269103200545899E-6</v>
      </c>
      <c r="AF184" s="1">
        <v>4.2199268505541796E-6</v>
      </c>
      <c r="AG184">
        <f t="shared" si="57"/>
        <v>1.2881018380593516E-4</v>
      </c>
      <c r="AI184" t="s">
        <v>401</v>
      </c>
      <c r="AJ184" t="s">
        <v>224</v>
      </c>
      <c r="AK184">
        <v>550</v>
      </c>
      <c r="AL184" s="1">
        <v>4.2383869009124599E-5</v>
      </c>
      <c r="AM184" s="1">
        <v>1.56782784000993E-6</v>
      </c>
      <c r="AN184" s="1">
        <v>3.41223104994302E-6</v>
      </c>
      <c r="AO184">
        <f t="shared" si="56"/>
        <v>4.2549897262587345E-5</v>
      </c>
      <c r="AQ184" t="s">
        <v>401</v>
      </c>
      <c r="AR184" t="s">
        <v>224</v>
      </c>
      <c r="AS184">
        <v>600</v>
      </c>
      <c r="AT184" s="1">
        <v>3.5546816682865203E-5</v>
      </c>
      <c r="AU184" s="1">
        <v>2.2068548500413601E-6</v>
      </c>
      <c r="AV184" s="1">
        <v>2.64080015000092E-6</v>
      </c>
      <c r="AW184">
        <f t="shared" si="52"/>
        <v>3.5713025775571295E-5</v>
      </c>
      <c r="AY184" t="s">
        <v>401</v>
      </c>
      <c r="AZ184" t="s">
        <v>224</v>
      </c>
      <c r="BA184">
        <v>800</v>
      </c>
      <c r="BB184">
        <v>1.3609316170351035E-5</v>
      </c>
      <c r="BD184">
        <f t="shared" si="53"/>
        <v>8.626028654334781E-5</v>
      </c>
      <c r="BF184">
        <f t="shared" si="54"/>
        <v>9.3097158030363867E-5</v>
      </c>
      <c r="BH184">
        <f t="shared" si="45"/>
        <v>1.1520086763558413E-4</v>
      </c>
      <c r="BJ184">
        <f t="shared" si="46"/>
        <v>0.1056225906806421</v>
      </c>
      <c r="BL184" s="1">
        <f t="shared" si="47"/>
        <v>0.12334473827036399</v>
      </c>
      <c r="BN184">
        <f t="shared" si="48"/>
        <v>0.13460482494941151</v>
      </c>
      <c r="BP184">
        <v>11.536446844090966</v>
      </c>
      <c r="BQ184" s="4">
        <v>79.25</v>
      </c>
      <c r="BR184">
        <v>8.67</v>
      </c>
      <c r="BT184" s="1">
        <v>3.0482E-7</v>
      </c>
      <c r="BV184" s="11">
        <f t="shared" si="49"/>
        <v>10.420198255446884</v>
      </c>
    </row>
    <row r="185" spans="1:74" x14ac:dyDescent="0.25">
      <c r="A185" t="s">
        <v>185</v>
      </c>
      <c r="B185" t="s">
        <v>5</v>
      </c>
      <c r="C185" s="1">
        <v>3.9300000000000003E-3</v>
      </c>
      <c r="D185">
        <v>2.3610923319514636E-8</v>
      </c>
      <c r="F185" t="s">
        <v>185</v>
      </c>
      <c r="G185" t="s">
        <v>6</v>
      </c>
      <c r="H185" s="1">
        <v>2.5899999999999999E-3</v>
      </c>
      <c r="I185">
        <v>1.5560173520883371E-8</v>
      </c>
      <c r="K185" t="s">
        <v>185</v>
      </c>
      <c r="L185" t="s">
        <v>7</v>
      </c>
      <c r="M185" s="1">
        <v>2.14E-3</v>
      </c>
      <c r="N185">
        <v>1.281672875580973E-8</v>
      </c>
      <c r="P185" t="s">
        <v>185</v>
      </c>
      <c r="Q185" t="s">
        <v>446</v>
      </c>
      <c r="R185">
        <v>8.8780234286692439E-9</v>
      </c>
      <c r="T185">
        <f t="shared" si="50"/>
        <v>8.0507497986312643E-9</v>
      </c>
      <c r="V185" s="1">
        <f t="shared" si="51"/>
        <v>1.0794194563704906E-8</v>
      </c>
      <c r="X185">
        <f t="shared" si="43"/>
        <v>1.4732899890845392E-8</v>
      </c>
      <c r="AA185" t="s">
        <v>402</v>
      </c>
      <c r="AB185" t="s">
        <v>224</v>
      </c>
      <c r="AC185">
        <v>350</v>
      </c>
      <c r="AD185" s="1">
        <v>1.2630217747264399E-4</v>
      </c>
      <c r="AE185" s="1">
        <v>1.2987768200297799E-6</v>
      </c>
      <c r="AF185" s="1">
        <v>2.55766225059002E-6</v>
      </c>
      <c r="AG185">
        <f t="shared" si="57"/>
        <v>1.2633474776065212E-4</v>
      </c>
      <c r="AI185" t="s">
        <v>402</v>
      </c>
      <c r="AJ185" t="s">
        <v>224</v>
      </c>
      <c r="AK185">
        <v>550</v>
      </c>
      <c r="AL185" s="1">
        <v>4.2843941682323498E-5</v>
      </c>
      <c r="AM185" s="1">
        <v>1.74646330999835E-6</v>
      </c>
      <c r="AN185" s="1">
        <v>1.64437885002298E-6</v>
      </c>
      <c r="AO185">
        <f t="shared" si="56"/>
        <v>4.2911041175598504E-5</v>
      </c>
      <c r="AQ185" t="s">
        <v>402</v>
      </c>
      <c r="AR185" t="s">
        <v>224</v>
      </c>
      <c r="AS185">
        <v>600</v>
      </c>
      <c r="AT185" s="1">
        <v>3.4578112278545497E-5</v>
      </c>
      <c r="AU185" s="1">
        <v>1.97347664985112E-6</v>
      </c>
      <c r="AV185" s="1">
        <v>1.47020865022608E-6</v>
      </c>
      <c r="AW185">
        <f t="shared" si="52"/>
        <v>3.4665573301337536E-5</v>
      </c>
      <c r="AY185" t="s">
        <v>402</v>
      </c>
      <c r="AZ185" t="s">
        <v>224</v>
      </c>
      <c r="BA185">
        <v>800</v>
      </c>
      <c r="BB185">
        <v>1.5403404039654444E-5</v>
      </c>
      <c r="BD185">
        <f t="shared" si="53"/>
        <v>8.3423706585053614E-5</v>
      </c>
      <c r="BF185">
        <f t="shared" si="54"/>
        <v>9.1669174459314582E-5</v>
      </c>
      <c r="BH185">
        <f t="shared" si="45"/>
        <v>1.1093134372099767E-4</v>
      </c>
      <c r="BJ185">
        <f t="shared" si="46"/>
        <v>9.6504340650738429E-2</v>
      </c>
      <c r="BL185" s="1">
        <f t="shared" si="47"/>
        <v>0.11775162836767643</v>
      </c>
      <c r="BN185">
        <f t="shared" si="48"/>
        <v>0.1328109747584052</v>
      </c>
      <c r="BP185">
        <v>10.536604604236794</v>
      </c>
      <c r="BQ185" s="4">
        <v>79.27</v>
      </c>
      <c r="BR185">
        <v>8.6300000000000008</v>
      </c>
      <c r="BT185" s="1">
        <v>2.9133E-7</v>
      </c>
      <c r="BV185" s="11">
        <f t="shared" si="49"/>
        <v>9.391110835678985</v>
      </c>
    </row>
    <row r="186" spans="1:74" x14ac:dyDescent="0.25">
      <c r="A186" t="s">
        <v>186</v>
      </c>
      <c r="B186" t="s">
        <v>5</v>
      </c>
      <c r="C186" s="1">
        <v>4.15E-3</v>
      </c>
      <c r="D186">
        <v>2.4946232501121287E-8</v>
      </c>
      <c r="F186" t="s">
        <v>186</v>
      </c>
      <c r="G186" t="s">
        <v>6</v>
      </c>
      <c r="H186" s="1">
        <v>3.0100000000000001E-3</v>
      </c>
      <c r="I186">
        <v>1.8050706357370066E-8</v>
      </c>
      <c r="K186" t="s">
        <v>186</v>
      </c>
      <c r="L186" t="s">
        <v>7</v>
      </c>
      <c r="M186" s="1">
        <v>2.8900000000000002E-3</v>
      </c>
      <c r="N186">
        <v>1.7332573380776438E-8</v>
      </c>
      <c r="P186" t="s">
        <v>186</v>
      </c>
      <c r="Q186" t="s">
        <v>446</v>
      </c>
      <c r="R186">
        <v>1.2198550282718024E-8</v>
      </c>
      <c r="T186">
        <f t="shared" si="50"/>
        <v>6.8955261437512209E-9</v>
      </c>
      <c r="V186" s="1">
        <f t="shared" si="51"/>
        <v>7.613659120344848E-9</v>
      </c>
      <c r="X186">
        <f t="shared" si="43"/>
        <v>1.2747682218403262E-8</v>
      </c>
      <c r="AA186" t="s">
        <v>403</v>
      </c>
      <c r="AB186" t="s">
        <v>224</v>
      </c>
      <c r="AC186">
        <v>350</v>
      </c>
      <c r="AD186" s="1">
        <v>1.5266328477925501E-4</v>
      </c>
      <c r="AE186" s="1">
        <v>3.70906049017535E-6</v>
      </c>
      <c r="AF186" s="1">
        <v>3.1047195002444602E-6</v>
      </c>
      <c r="AG186">
        <f t="shared" si="57"/>
        <v>1.5273989306165858E-4</v>
      </c>
      <c r="AI186" t="s">
        <v>403</v>
      </c>
      <c r="AJ186" t="s">
        <v>224</v>
      </c>
      <c r="AK186">
        <v>550</v>
      </c>
      <c r="AL186" s="1">
        <v>5.1344915401082099E-5</v>
      </c>
      <c r="AM186" s="1">
        <v>2.8710945998841998E-6</v>
      </c>
      <c r="AN186" s="1">
        <v>2.7598329003639401E-6</v>
      </c>
      <c r="AO186">
        <f t="shared" ref="AO186:AO217" si="58">SQRT(AL186^2+AM186^2+AN186^2)</f>
        <v>5.1499128141976281E-5</v>
      </c>
      <c r="AQ186" t="s">
        <v>403</v>
      </c>
      <c r="AR186" t="s">
        <v>224</v>
      </c>
      <c r="AS186">
        <v>600</v>
      </c>
      <c r="AT186" s="1">
        <v>4.1811420597082597E-5</v>
      </c>
      <c r="AU186" s="1">
        <v>3.5036333999834598E-6</v>
      </c>
      <c r="AV186" s="1">
        <v>2.13309155056061E-6</v>
      </c>
      <c r="AW186">
        <f t="shared" si="52"/>
        <v>4.2012146087895765E-5</v>
      </c>
      <c r="AY186" t="s">
        <v>403</v>
      </c>
      <c r="AZ186" t="s">
        <v>224</v>
      </c>
      <c r="BA186">
        <v>800</v>
      </c>
      <c r="BB186">
        <v>1.7486726943780032E-5</v>
      </c>
      <c r="BD186">
        <f t="shared" si="53"/>
        <v>1.012407649196823E-4</v>
      </c>
      <c r="BF186">
        <f t="shared" si="54"/>
        <v>1.1072774697376282E-4</v>
      </c>
      <c r="BH186">
        <f t="shared" si="45"/>
        <v>1.3525316611787854E-4</v>
      </c>
      <c r="BJ186">
        <f t="shared" si="46"/>
        <v>6.8110174288209632E-2</v>
      </c>
      <c r="BL186" s="1">
        <f t="shared" si="47"/>
        <v>6.8760173745329806E-2</v>
      </c>
      <c r="BN186">
        <f t="shared" si="48"/>
        <v>9.4250527246757004E-2</v>
      </c>
      <c r="BP186">
        <v>8.9488678610200907</v>
      </c>
      <c r="BQ186" s="4">
        <v>79.289999999999992</v>
      </c>
      <c r="BR186">
        <v>9.4600000000000009</v>
      </c>
      <c r="BT186" s="1">
        <v>3.2230999999999998E-7</v>
      </c>
      <c r="BV186" s="11">
        <f t="shared" si="49"/>
        <v>8.18163402662233</v>
      </c>
    </row>
    <row r="187" spans="1:74" x14ac:dyDescent="0.25">
      <c r="A187" t="s">
        <v>187</v>
      </c>
      <c r="B187" t="s">
        <v>5</v>
      </c>
      <c r="C187" s="1">
        <v>4.0499999999999998E-3</v>
      </c>
      <c r="D187">
        <v>2.4285034486283934E-8</v>
      </c>
      <c r="F187" t="s">
        <v>187</v>
      </c>
      <c r="G187" t="s">
        <v>6</v>
      </c>
      <c r="H187" s="1">
        <v>2.8300000000000001E-3</v>
      </c>
      <c r="I187">
        <v>1.7018629468908476E-8</v>
      </c>
      <c r="K187" t="s">
        <v>187</v>
      </c>
      <c r="L187" t="s">
        <v>7</v>
      </c>
      <c r="M187" s="1">
        <v>2.7200000000000002E-3</v>
      </c>
      <c r="N187">
        <v>1.632846058267588E-8</v>
      </c>
      <c r="P187" t="s">
        <v>187</v>
      </c>
      <c r="Q187" t="s">
        <v>446</v>
      </c>
      <c r="R187">
        <v>1.1491875390901173E-8</v>
      </c>
      <c r="T187">
        <f t="shared" si="50"/>
        <v>7.2664050173754586E-9</v>
      </c>
      <c r="V187" s="1">
        <f t="shared" si="51"/>
        <v>7.9565739036080538E-9</v>
      </c>
      <c r="X187">
        <f t="shared" si="43"/>
        <v>1.2793159095382761E-8</v>
      </c>
      <c r="AA187" t="s">
        <v>404</v>
      </c>
      <c r="AB187" t="s">
        <v>224</v>
      </c>
      <c r="AC187">
        <v>350</v>
      </c>
      <c r="AD187" s="1">
        <v>1.17197488281804E-4</v>
      </c>
      <c r="AE187" s="1">
        <v>4.5412782700049596E-6</v>
      </c>
      <c r="AF187" s="1">
        <v>4.5539586500560597E-6</v>
      </c>
      <c r="AG187">
        <f t="shared" si="57"/>
        <v>1.1737381738392776E-4</v>
      </c>
      <c r="AI187" t="s">
        <v>404</v>
      </c>
      <c r="AJ187" t="s">
        <v>224</v>
      </c>
      <c r="AK187">
        <v>550</v>
      </c>
      <c r="AL187" s="1">
        <v>3.9588141395467398E-5</v>
      </c>
      <c r="AM187" s="1">
        <v>4.2814785000082704E-6</v>
      </c>
      <c r="AN187" s="1">
        <v>1.82632010064424E-6</v>
      </c>
      <c r="AO187">
        <f t="shared" si="58"/>
        <v>3.9860850999490339E-5</v>
      </c>
      <c r="AQ187" t="s">
        <v>404</v>
      </c>
      <c r="AR187" t="s">
        <v>224</v>
      </c>
      <c r="AS187">
        <v>600</v>
      </c>
      <c r="AT187" s="1">
        <v>3.3307528020593901E-5</v>
      </c>
      <c r="AU187" s="1">
        <v>3.9229740600231603E-6</v>
      </c>
      <c r="AV187" s="1">
        <v>2.7345461506727298E-6</v>
      </c>
      <c r="AW187">
        <f t="shared" si="52"/>
        <v>3.3649054830238863E-5</v>
      </c>
      <c r="AY187" t="s">
        <v>404</v>
      </c>
      <c r="AZ187" t="s">
        <v>224</v>
      </c>
      <c r="BA187">
        <v>800</v>
      </c>
      <c r="BB187">
        <v>1.4588426580159451E-5</v>
      </c>
      <c r="BD187">
        <f t="shared" si="53"/>
        <v>7.7512966384437411E-5</v>
      </c>
      <c r="BF187">
        <f t="shared" si="54"/>
        <v>8.3724762553688895E-5</v>
      </c>
      <c r="BH187">
        <f t="shared" si="45"/>
        <v>1.0278539080376831E-4</v>
      </c>
      <c r="BJ187">
        <f t="shared" si="46"/>
        <v>9.3744380538045874E-2</v>
      </c>
      <c r="BL187" s="1">
        <f t="shared" si="47"/>
        <v>9.5032504851905231E-2</v>
      </c>
      <c r="BN187">
        <f t="shared" si="48"/>
        <v>0.12446476094843761</v>
      </c>
      <c r="BP187">
        <v>10.99311585580617</v>
      </c>
      <c r="BQ187" s="4">
        <v>79.309999999999988</v>
      </c>
      <c r="BR187">
        <v>8.2799999999999994</v>
      </c>
      <c r="BT187" s="1">
        <v>2.9058E-7</v>
      </c>
      <c r="BV187" s="11">
        <f t="shared" si="49"/>
        <v>10.093520474578053</v>
      </c>
    </row>
    <row r="188" spans="1:74" x14ac:dyDescent="0.25">
      <c r="A188" t="s">
        <v>188</v>
      </c>
      <c r="B188" t="s">
        <v>5</v>
      </c>
      <c r="C188" s="1">
        <v>5.5999999999999999E-3</v>
      </c>
      <c r="D188">
        <v>3.3632716215018972E-8</v>
      </c>
      <c r="F188" t="s">
        <v>188</v>
      </c>
      <c r="G188" t="s">
        <v>6</v>
      </c>
      <c r="H188" s="1">
        <v>3.8899999999999998E-3</v>
      </c>
      <c r="I188">
        <v>2.3347124019887335E-8</v>
      </c>
      <c r="K188" t="s">
        <v>188</v>
      </c>
      <c r="L188" t="s">
        <v>7</v>
      </c>
      <c r="M188" s="1">
        <v>3.6900000000000001E-3</v>
      </c>
      <c r="N188">
        <v>2.2107828930041954E-8</v>
      </c>
      <c r="P188" t="s">
        <v>188</v>
      </c>
      <c r="Q188" t="s">
        <v>446</v>
      </c>
      <c r="R188">
        <v>1.5724503171801645E-8</v>
      </c>
      <c r="T188">
        <f t="shared" si="50"/>
        <v>1.0285592195131638E-8</v>
      </c>
      <c r="V188" s="1">
        <f t="shared" si="51"/>
        <v>1.1524887284977018E-8</v>
      </c>
      <c r="X188">
        <f t="shared" si="43"/>
        <v>1.7908213043217327E-8</v>
      </c>
      <c r="AA188" t="s">
        <v>405</v>
      </c>
      <c r="AB188" t="s">
        <v>224</v>
      </c>
      <c r="AC188">
        <v>350</v>
      </c>
      <c r="AD188" s="1">
        <v>1.0746458294561E-4</v>
      </c>
      <c r="AE188" s="1">
        <v>3.9018072000413601E-6</v>
      </c>
      <c r="AF188" s="1">
        <v>3.5174486006644602E-6</v>
      </c>
      <c r="AG188">
        <f t="shared" si="57"/>
        <v>1.0759290465341337E-4</v>
      </c>
      <c r="AI188" t="s">
        <v>405</v>
      </c>
      <c r="AJ188" t="s">
        <v>224</v>
      </c>
      <c r="AK188">
        <v>550</v>
      </c>
      <c r="AL188" s="1">
        <v>3.8366558446533E-5</v>
      </c>
      <c r="AM188" s="1">
        <v>3.0132431400182002E-6</v>
      </c>
      <c r="AN188" s="1">
        <v>3.2558232506552699E-6</v>
      </c>
      <c r="AO188">
        <f t="shared" si="58"/>
        <v>3.8622180496336644E-5</v>
      </c>
      <c r="AQ188" t="s">
        <v>405</v>
      </c>
      <c r="AR188" t="s">
        <v>224</v>
      </c>
      <c r="AS188">
        <v>600</v>
      </c>
      <c r="AT188" s="1">
        <v>3.1045065471756399E-5</v>
      </c>
      <c r="AU188" s="1">
        <v>3.3660488100314299E-6</v>
      </c>
      <c r="AV188" s="1">
        <v>3.1174245506387301E-6</v>
      </c>
      <c r="AW188">
        <f t="shared" si="52"/>
        <v>3.138223558904114E-5</v>
      </c>
      <c r="AY188" t="s">
        <v>405</v>
      </c>
      <c r="AZ188" t="s">
        <v>224</v>
      </c>
      <c r="BA188">
        <v>800</v>
      </c>
      <c r="BB188">
        <v>1.3601679606235285E-5</v>
      </c>
      <c r="BD188">
        <f t="shared" si="53"/>
        <v>6.8970724157076737E-5</v>
      </c>
      <c r="BF188">
        <f t="shared" si="54"/>
        <v>7.6210669064372241E-5</v>
      </c>
      <c r="BH188">
        <f t="shared" si="45"/>
        <v>9.3991225047178093E-5</v>
      </c>
      <c r="BJ188">
        <f t="shared" si="46"/>
        <v>0.14912982748603321</v>
      </c>
      <c r="BL188" s="1">
        <f t="shared" si="47"/>
        <v>0.15122406647870243</v>
      </c>
      <c r="BN188">
        <f t="shared" si="48"/>
        <v>0.19053069086213581</v>
      </c>
      <c r="BP188">
        <v>16.839789670388281</v>
      </c>
      <c r="BQ188" s="4">
        <v>79.329999999999984</v>
      </c>
      <c r="BR188">
        <v>8.42</v>
      </c>
      <c r="BT188" s="1">
        <v>2.6464000000000002E-7</v>
      </c>
      <c r="BV188" s="11">
        <f t="shared" si="49"/>
        <v>15.093653070499828</v>
      </c>
    </row>
    <row r="189" spans="1:74" x14ac:dyDescent="0.25">
      <c r="A189" t="s">
        <v>189</v>
      </c>
      <c r="B189" t="s">
        <v>5</v>
      </c>
      <c r="C189" s="1">
        <v>2.8500000000000001E-3</v>
      </c>
      <c r="D189">
        <v>2.2793238032363896E-8</v>
      </c>
      <c r="F189" t="s">
        <v>189</v>
      </c>
      <c r="G189" t="s">
        <v>6</v>
      </c>
      <c r="H189" s="1">
        <v>2.0500000000000002E-3</v>
      </c>
      <c r="I189">
        <v>1.6373240363471123E-8</v>
      </c>
      <c r="K189" t="s">
        <v>189</v>
      </c>
      <c r="L189" t="s">
        <v>7</v>
      </c>
      <c r="M189" s="1">
        <v>1.9E-3</v>
      </c>
      <c r="N189">
        <v>1.5217177793533202E-8</v>
      </c>
      <c r="P189" t="s">
        <v>189</v>
      </c>
      <c r="Q189" t="s">
        <v>446</v>
      </c>
      <c r="R189">
        <v>9.6777941701608851E-9</v>
      </c>
      <c r="T189">
        <f t="shared" si="50"/>
        <v>6.4199976688927728E-9</v>
      </c>
      <c r="V189" s="1">
        <f t="shared" si="51"/>
        <v>7.576060238830694E-9</v>
      </c>
      <c r="X189">
        <f t="shared" si="43"/>
        <v>1.311544386220301E-8</v>
      </c>
      <c r="AA189" t="s">
        <v>406</v>
      </c>
      <c r="AB189" t="s">
        <v>224</v>
      </c>
      <c r="AC189">
        <v>350</v>
      </c>
      <c r="AD189" s="1">
        <v>1.49405361695533E-4</v>
      </c>
      <c r="AE189" s="1">
        <v>2.9085683300446701E-6</v>
      </c>
      <c r="AF189" s="1">
        <v>5.1979690007104102E-6</v>
      </c>
      <c r="AG189">
        <f t="shared" si="57"/>
        <v>1.4952404741323694E-4</v>
      </c>
      <c r="AI189" t="s">
        <v>406</v>
      </c>
      <c r="AJ189" t="s">
        <v>224</v>
      </c>
      <c r="AK189">
        <v>550</v>
      </c>
      <c r="AL189" s="1">
        <v>4.9724422956669099E-5</v>
      </c>
      <c r="AM189" s="1">
        <v>2.3449328400678201E-6</v>
      </c>
      <c r="AN189" s="1">
        <v>2.5264547001240699E-6</v>
      </c>
      <c r="AO189">
        <f t="shared" si="58"/>
        <v>4.9843755092788992E-5</v>
      </c>
      <c r="AQ189" t="s">
        <v>406</v>
      </c>
      <c r="AR189" t="s">
        <v>224</v>
      </c>
      <c r="AS189">
        <v>600</v>
      </c>
      <c r="AT189" s="1">
        <v>3.8548942357760501E-5</v>
      </c>
      <c r="AU189" s="1">
        <v>2.1963454300115801E-6</v>
      </c>
      <c r="AV189" s="1">
        <v>3.6327808500376798E-6</v>
      </c>
      <c r="AW189">
        <f t="shared" si="52"/>
        <v>3.8781980182222192E-5</v>
      </c>
      <c r="AY189" t="s">
        <v>406</v>
      </c>
      <c r="AZ189" t="s">
        <v>224</v>
      </c>
      <c r="BA189">
        <v>800</v>
      </c>
      <c r="BB189">
        <v>1.5698809362989685E-5</v>
      </c>
      <c r="BD189">
        <f t="shared" si="53"/>
        <v>9.9680292320447953E-5</v>
      </c>
      <c r="BF189">
        <f t="shared" si="54"/>
        <v>1.1074206723101475E-4</v>
      </c>
      <c r="BH189">
        <f t="shared" si="45"/>
        <v>1.3382523805024725E-4</v>
      </c>
      <c r="BJ189">
        <f t="shared" si="46"/>
        <v>6.4405887256570621E-2</v>
      </c>
      <c r="BL189" s="1">
        <f t="shared" si="47"/>
        <v>6.8411764637069369E-2</v>
      </c>
      <c r="BN189">
        <f t="shared" si="48"/>
        <v>9.8004263271166875E-2</v>
      </c>
      <c r="BP189">
        <v>8.7713195334139318</v>
      </c>
      <c r="BQ189" s="3">
        <v>79.34</v>
      </c>
      <c r="BR189">
        <v>10.63</v>
      </c>
      <c r="BT189" s="1">
        <v>2.7397000000000001E-7</v>
      </c>
      <c r="BV189" s="11">
        <f t="shared" si="49"/>
        <v>7.8265389634210196</v>
      </c>
    </row>
    <row r="190" spans="1:74" x14ac:dyDescent="0.25">
      <c r="A190" t="s">
        <v>190</v>
      </c>
      <c r="B190" t="s">
        <v>5</v>
      </c>
      <c r="C190" s="1">
        <v>3.9500000000000004E-3</v>
      </c>
      <c r="D190">
        <v>2.3689440685672594E-8</v>
      </c>
      <c r="F190" t="s">
        <v>190</v>
      </c>
      <c r="G190" t="s">
        <v>6</v>
      </c>
      <c r="H190" s="1">
        <v>2.6700000000000001E-3</v>
      </c>
      <c r="I190">
        <v>1.6042723708896814E-8</v>
      </c>
      <c r="K190" t="s">
        <v>190</v>
      </c>
      <c r="L190" t="s">
        <v>7</v>
      </c>
      <c r="M190" s="1">
        <v>2.33E-3</v>
      </c>
      <c r="N190">
        <v>1.3964670995050331E-8</v>
      </c>
      <c r="P190" t="s">
        <v>190</v>
      </c>
      <c r="Q190" t="s">
        <v>446</v>
      </c>
      <c r="R190">
        <v>1.0076095473942276E-8</v>
      </c>
      <c r="T190">
        <f t="shared" si="50"/>
        <v>7.6467169767757807E-9</v>
      </c>
      <c r="V190" s="1">
        <f t="shared" si="51"/>
        <v>9.7247696906222638E-9</v>
      </c>
      <c r="X190">
        <f t="shared" si="43"/>
        <v>1.3613345211730318E-8</v>
      </c>
      <c r="AA190" t="s">
        <v>407</v>
      </c>
      <c r="AB190" t="s">
        <v>224</v>
      </c>
      <c r="AC190">
        <v>350</v>
      </c>
      <c r="AD190" s="1">
        <v>1.84229630357272E-4</v>
      </c>
      <c r="AE190" s="1">
        <v>3.3604733900761001E-6</v>
      </c>
      <c r="AF190" s="1">
        <v>3.6712660500863899E-6</v>
      </c>
      <c r="AG190">
        <f t="shared" si="57"/>
        <v>1.842968466289996E-4</v>
      </c>
      <c r="AI190" t="s">
        <v>407</v>
      </c>
      <c r="AJ190" t="s">
        <v>224</v>
      </c>
      <c r="AK190">
        <v>550</v>
      </c>
      <c r="AL190" s="1">
        <v>5.9787069873771003E-5</v>
      </c>
      <c r="AM190" s="1">
        <v>2.30703971996361E-6</v>
      </c>
      <c r="AN190" s="1">
        <v>9.960512504815709E-7</v>
      </c>
      <c r="AO190">
        <f t="shared" si="58"/>
        <v>5.9839855234235421E-5</v>
      </c>
      <c r="AQ190" t="s">
        <v>407</v>
      </c>
      <c r="AR190" t="s">
        <v>224</v>
      </c>
      <c r="AS190">
        <v>600</v>
      </c>
      <c r="AT190" s="1">
        <v>4.7752518646596298E-5</v>
      </c>
      <c r="AU190" s="1">
        <v>2.56040062000496E-6</v>
      </c>
      <c r="AV190" s="1">
        <v>1.02442175062034E-6</v>
      </c>
      <c r="AW190">
        <f t="shared" si="52"/>
        <v>4.7832082626116051E-5</v>
      </c>
      <c r="AY190" t="s">
        <v>407</v>
      </c>
      <c r="AZ190" t="s">
        <v>224</v>
      </c>
      <c r="BA190">
        <v>800</v>
      </c>
      <c r="BB190">
        <v>1.9012947526966387E-5</v>
      </c>
      <c r="BD190">
        <f t="shared" si="53"/>
        <v>1.2445699139476419E-4</v>
      </c>
      <c r="BF190">
        <f t="shared" si="54"/>
        <v>1.3646476400288354E-4</v>
      </c>
      <c r="BH190">
        <f t="shared" si="45"/>
        <v>1.652838991020332E-4</v>
      </c>
      <c r="BJ190">
        <f t="shared" si="46"/>
        <v>6.1440638176132802E-2</v>
      </c>
      <c r="BL190" s="1">
        <f t="shared" si="47"/>
        <v>7.126212954442053E-2</v>
      </c>
      <c r="BN190">
        <f t="shared" si="48"/>
        <v>8.236340796465913E-2</v>
      </c>
      <c r="BP190">
        <v>7.4218726108525761</v>
      </c>
      <c r="BQ190" s="4">
        <v>79.36</v>
      </c>
      <c r="BR190">
        <v>11.58</v>
      </c>
      <c r="BT190" s="1">
        <v>3.2077999999999999E-7</v>
      </c>
      <c r="BV190" s="11">
        <f t="shared" si="49"/>
        <v>6.3773310881778213</v>
      </c>
    </row>
    <row r="191" spans="1:74" x14ac:dyDescent="0.25">
      <c r="A191" t="s">
        <v>191</v>
      </c>
      <c r="B191" t="s">
        <v>5</v>
      </c>
      <c r="C191" s="1">
        <v>2.96E-3</v>
      </c>
      <c r="D191">
        <v>2.3671362444946004E-8</v>
      </c>
      <c r="F191" t="s">
        <v>191</v>
      </c>
      <c r="G191" t="s">
        <v>6</v>
      </c>
      <c r="H191" s="1">
        <v>1.8400000000000001E-3</v>
      </c>
      <c r="I191">
        <v>1.4690200270928917E-8</v>
      </c>
      <c r="K191" t="s">
        <v>191</v>
      </c>
      <c r="L191" t="s">
        <v>7</v>
      </c>
      <c r="M191" s="1">
        <v>1.7600000000000001E-3</v>
      </c>
      <c r="N191">
        <v>1.4041794080529737E-8</v>
      </c>
      <c r="P191" t="s">
        <v>191</v>
      </c>
      <c r="Q191" t="s">
        <v>446</v>
      </c>
      <c r="R191">
        <v>9.2037981290334698E-9</v>
      </c>
      <c r="T191">
        <f t="shared" si="50"/>
        <v>8.9811621740170872E-9</v>
      </c>
      <c r="V191" s="1">
        <f t="shared" si="51"/>
        <v>9.6295683644162673E-9</v>
      </c>
      <c r="X191">
        <f t="shared" si="43"/>
        <v>1.4467564315912534E-8</v>
      </c>
      <c r="AA191" t="s">
        <v>408</v>
      </c>
      <c r="AB191" t="s">
        <v>224</v>
      </c>
      <c r="AC191">
        <v>350</v>
      </c>
      <c r="AD191" s="1">
        <v>1.7530033749741099E-4</v>
      </c>
      <c r="AE191" s="1">
        <v>2.4282434300281199E-6</v>
      </c>
      <c r="AF191" s="1">
        <v>5.4407218005762303E-6</v>
      </c>
      <c r="AG191">
        <f t="shared" si="57"/>
        <v>1.7540155685333281E-4</v>
      </c>
      <c r="AI191" t="s">
        <v>408</v>
      </c>
      <c r="AJ191" t="s">
        <v>224</v>
      </c>
      <c r="AK191">
        <v>550</v>
      </c>
      <c r="AL191" s="1">
        <v>5.2978188871973901E-5</v>
      </c>
      <c r="AM191" s="1">
        <v>1.4098905000413601E-6</v>
      </c>
      <c r="AN191" s="1">
        <v>3.9417726006479199E-6</v>
      </c>
      <c r="AO191">
        <f t="shared" si="58"/>
        <v>5.3143333153010505E-5</v>
      </c>
      <c r="AQ191" t="s">
        <v>408</v>
      </c>
      <c r="AR191" t="s">
        <v>224</v>
      </c>
      <c r="AS191">
        <v>600</v>
      </c>
      <c r="AT191" s="1">
        <v>4.5974585196985702E-5</v>
      </c>
      <c r="AU191" s="1">
        <v>3.2526408200297798E-6</v>
      </c>
      <c r="AV191" s="1">
        <v>4.2899896506543498E-6</v>
      </c>
      <c r="AW191">
        <f t="shared" si="52"/>
        <v>4.6288726138680273E-5</v>
      </c>
      <c r="AY191" t="s">
        <v>408</v>
      </c>
      <c r="AZ191" t="s">
        <v>224</v>
      </c>
      <c r="BA191">
        <v>800</v>
      </c>
      <c r="BB191">
        <v>1.7358741910655641E-5</v>
      </c>
      <c r="BD191">
        <f t="shared" si="53"/>
        <v>1.222582237003223E-4</v>
      </c>
      <c r="BF191">
        <f t="shared" si="54"/>
        <v>1.2911283071465252E-4</v>
      </c>
      <c r="BH191">
        <f t="shared" si="45"/>
        <v>1.5804281494267717E-4</v>
      </c>
      <c r="BJ191">
        <f t="shared" si="46"/>
        <v>7.3460597595721572E-2</v>
      </c>
      <c r="BL191" s="1">
        <f t="shared" si="47"/>
        <v>7.4582582622622684E-2</v>
      </c>
      <c r="BN191">
        <f t="shared" si="48"/>
        <v>9.1542056632944582E-2</v>
      </c>
      <c r="BP191">
        <v>7.9043752298922927</v>
      </c>
      <c r="BQ191" s="4">
        <v>79.38</v>
      </c>
      <c r="BR191">
        <v>10.83</v>
      </c>
      <c r="BT191" s="1">
        <v>3.1805000000000002E-7</v>
      </c>
      <c r="BV191" s="11">
        <f t="shared" si="49"/>
        <v>6.8722571002184232</v>
      </c>
    </row>
    <row r="192" spans="1:74" x14ac:dyDescent="0.25">
      <c r="A192" t="s">
        <v>192</v>
      </c>
      <c r="B192" t="s">
        <v>5</v>
      </c>
      <c r="C192" s="1">
        <v>2.4599999999999999E-3</v>
      </c>
      <c r="D192">
        <v>1.4784752280643731E-8</v>
      </c>
      <c r="F192" t="s">
        <v>192</v>
      </c>
      <c r="G192" t="s">
        <v>6</v>
      </c>
      <c r="H192" s="1">
        <v>1.5399999999999999E-3</v>
      </c>
      <c r="I192">
        <v>9.2383910395696077E-9</v>
      </c>
      <c r="K192" t="s">
        <v>192</v>
      </c>
      <c r="L192" t="s">
        <v>7</v>
      </c>
      <c r="M192" s="1">
        <v>1.2600000000000001E-3</v>
      </c>
      <c r="N192">
        <v>7.5581543355504444E-9</v>
      </c>
      <c r="P192" t="s">
        <v>192</v>
      </c>
      <c r="Q192" t="s">
        <v>446</v>
      </c>
      <c r="R192">
        <v>6.954969733938459E-9</v>
      </c>
      <c r="T192">
        <f t="shared" si="50"/>
        <v>5.546361241074123E-9</v>
      </c>
      <c r="V192" s="1">
        <f t="shared" si="51"/>
        <v>7.2265979450932862E-9</v>
      </c>
      <c r="X192">
        <f t="shared" si="43"/>
        <v>7.8297825467052708E-9</v>
      </c>
      <c r="AA192" t="s">
        <v>409</v>
      </c>
      <c r="AB192" t="s">
        <v>224</v>
      </c>
      <c r="AC192">
        <v>350</v>
      </c>
      <c r="AD192" s="1">
        <v>1.50241921796729E-4</v>
      </c>
      <c r="AE192" s="1">
        <v>1.3158237900264701E-6</v>
      </c>
      <c r="AF192" s="1">
        <v>2.3183632506470002E-6</v>
      </c>
      <c r="AG192">
        <f t="shared" si="57"/>
        <v>1.5026556912873547E-4</v>
      </c>
      <c r="AI192" t="s">
        <v>409</v>
      </c>
      <c r="AJ192" t="s">
        <v>224</v>
      </c>
      <c r="AK192">
        <v>550</v>
      </c>
      <c r="AL192" s="1">
        <v>5.1789597783302203E-5</v>
      </c>
      <c r="AM192" s="1">
        <v>1.1049446300033101E-6</v>
      </c>
      <c r="AN192" s="1">
        <v>1.16898795005147E-6</v>
      </c>
      <c r="AO192">
        <f t="shared" si="58"/>
        <v>5.181457202389072E-5</v>
      </c>
      <c r="AQ192" t="s">
        <v>409</v>
      </c>
      <c r="AR192" t="s">
        <v>224</v>
      </c>
      <c r="AS192">
        <v>600</v>
      </c>
      <c r="AT192" s="1">
        <v>4.2685483507438198E-5</v>
      </c>
      <c r="AU192" s="1">
        <v>9.9750678002812193E-7</v>
      </c>
      <c r="AV192" s="1">
        <v>3.6375915008363202E-7</v>
      </c>
      <c r="AW192">
        <f t="shared" si="52"/>
        <v>4.2698686663166231E-5</v>
      </c>
      <c r="AY192" t="s">
        <v>409</v>
      </c>
      <c r="AZ192" t="s">
        <v>224</v>
      </c>
      <c r="BA192">
        <v>800</v>
      </c>
      <c r="BB192">
        <v>1.7389592404944499E-5</v>
      </c>
      <c r="BD192">
        <f t="shared" si="53"/>
        <v>9.8450997104844744E-5</v>
      </c>
      <c r="BF192">
        <f t="shared" si="54"/>
        <v>1.0756688246556924E-4</v>
      </c>
      <c r="BH192">
        <f t="shared" si="45"/>
        <v>1.3287597672379098E-4</v>
      </c>
      <c r="BJ192">
        <f t="shared" si="46"/>
        <v>5.6336262751788713E-2</v>
      </c>
      <c r="BL192" s="1">
        <f t="shared" si="47"/>
        <v>6.7182368582694829E-2</v>
      </c>
      <c r="BN192">
        <f t="shared" si="48"/>
        <v>5.8925493830845166E-2</v>
      </c>
      <c r="BP192">
        <v>5.872132516295955</v>
      </c>
      <c r="BQ192" s="4">
        <v>79.399999999999991</v>
      </c>
      <c r="BR192">
        <v>8.99</v>
      </c>
      <c r="BT192" s="1">
        <v>3.2611E-7</v>
      </c>
      <c r="BV192" s="11">
        <f t="shared" si="49"/>
        <v>5.0430148164940256</v>
      </c>
    </row>
    <row r="193" spans="1:74" x14ac:dyDescent="0.25">
      <c r="A193" t="s">
        <v>193</v>
      </c>
      <c r="B193" t="s">
        <v>5</v>
      </c>
      <c r="C193" s="1">
        <v>3.0799999999999998E-3</v>
      </c>
      <c r="D193">
        <v>1.8510244622910848E-8</v>
      </c>
      <c r="F193" t="s">
        <v>193</v>
      </c>
      <c r="G193" t="s">
        <v>6</v>
      </c>
      <c r="H193" s="1">
        <v>2.1299999999999999E-3</v>
      </c>
      <c r="I193">
        <v>1.2756880496422313E-8</v>
      </c>
      <c r="K193" t="s">
        <v>193</v>
      </c>
      <c r="L193" t="s">
        <v>7</v>
      </c>
      <c r="M193" s="1">
        <v>1.9599999999999999E-3</v>
      </c>
      <c r="N193">
        <v>1.1732369752100384E-8</v>
      </c>
      <c r="P193" t="s">
        <v>193</v>
      </c>
      <c r="Q193" t="s">
        <v>446</v>
      </c>
      <c r="R193">
        <v>7.8603730191384683E-9</v>
      </c>
      <c r="T193">
        <f t="shared" si="50"/>
        <v>5.7533641264885357E-9</v>
      </c>
      <c r="V193" s="1">
        <f t="shared" si="51"/>
        <v>6.7778748708104648E-9</v>
      </c>
      <c r="X193">
        <f t="shared" si="43"/>
        <v>1.064987160377238E-8</v>
      </c>
      <c r="AA193" t="s">
        <v>410</v>
      </c>
      <c r="AB193" t="s">
        <v>224</v>
      </c>
      <c r="AC193">
        <v>350</v>
      </c>
      <c r="AD193" s="1">
        <v>1.59757549707551E-4</v>
      </c>
      <c r="AE193" s="1">
        <v>1.21951210999007E-6</v>
      </c>
      <c r="AF193" s="1">
        <v>4.1124890000496301E-6</v>
      </c>
      <c r="AG193">
        <f t="shared" si="57"/>
        <v>1.5981512589277201E-4</v>
      </c>
      <c r="AI193" t="s">
        <v>410</v>
      </c>
      <c r="AJ193" t="s">
        <v>224</v>
      </c>
      <c r="AK193">
        <v>550</v>
      </c>
      <c r="AL193" s="1">
        <v>5.3437730846839499E-5</v>
      </c>
      <c r="AM193" s="1">
        <v>1.22257119002647E-6</v>
      </c>
      <c r="AN193" s="1">
        <v>2.59454390062494E-6</v>
      </c>
      <c r="AO193">
        <f t="shared" si="58"/>
        <v>5.3514646746719862E-5</v>
      </c>
      <c r="AQ193" t="s">
        <v>410</v>
      </c>
      <c r="AR193" t="s">
        <v>224</v>
      </c>
      <c r="AS193">
        <v>600</v>
      </c>
      <c r="AT193" s="1">
        <v>4.4584416546863197E-5</v>
      </c>
      <c r="AU193" s="1">
        <v>1.0215847000082701E-6</v>
      </c>
      <c r="AV193" s="1">
        <v>2.59096675063505E-6</v>
      </c>
      <c r="AW193">
        <f t="shared" si="52"/>
        <v>4.4671321256779452E-5</v>
      </c>
      <c r="AY193" t="s">
        <v>410</v>
      </c>
      <c r="AZ193" t="s">
        <v>224</v>
      </c>
      <c r="BA193">
        <v>800</v>
      </c>
      <c r="BB193">
        <v>2.0195988746780643E-5</v>
      </c>
      <c r="BD193">
        <f t="shared" si="53"/>
        <v>1.0630047914605215E-4</v>
      </c>
      <c r="BF193">
        <f t="shared" si="54"/>
        <v>1.1514380463599255E-4</v>
      </c>
      <c r="BH193">
        <f t="shared" si="45"/>
        <v>1.3961913714599137E-4</v>
      </c>
      <c r="BJ193">
        <f t="shared" si="46"/>
        <v>5.4123595422215065E-2</v>
      </c>
      <c r="BL193" s="1">
        <f t="shared" si="47"/>
        <v>5.8864433846332914E-2</v>
      </c>
      <c r="BN193">
        <f t="shared" si="48"/>
        <v>7.6278021920708802E-2</v>
      </c>
      <c r="BP193">
        <v>7.628871644894871</v>
      </c>
      <c r="BQ193" s="3">
        <v>79.460000000000008</v>
      </c>
      <c r="BR193">
        <v>9.2899999999999991</v>
      </c>
      <c r="BT193" s="1">
        <v>3.3484E-7</v>
      </c>
      <c r="BV193" s="11">
        <f t="shared" si="49"/>
        <v>5.9505774339953863</v>
      </c>
    </row>
    <row r="194" spans="1:74" x14ac:dyDescent="0.25">
      <c r="A194" t="s">
        <v>194</v>
      </c>
      <c r="B194" t="s">
        <v>5</v>
      </c>
      <c r="C194" s="1">
        <v>4.3499999999999997E-3</v>
      </c>
      <c r="D194">
        <v>2.6056886018862653E-8</v>
      </c>
      <c r="F194" t="s">
        <v>194</v>
      </c>
      <c r="G194" t="s">
        <v>6</v>
      </c>
      <c r="H194" s="1">
        <v>2.63E-3</v>
      </c>
      <c r="I194">
        <v>1.5802579662827204E-8</v>
      </c>
      <c r="K194" t="s">
        <v>194</v>
      </c>
      <c r="L194" t="s">
        <v>7</v>
      </c>
      <c r="M194" s="1">
        <v>2.5699999999999998E-3</v>
      </c>
      <c r="N194">
        <v>1.5429014874579646E-8</v>
      </c>
      <c r="P194" t="s">
        <v>194</v>
      </c>
      <c r="Q194" t="s">
        <v>446</v>
      </c>
      <c r="R194">
        <v>9.7796433984067122E-9</v>
      </c>
      <c r="T194">
        <f t="shared" si="50"/>
        <v>1.0254306356035448E-8</v>
      </c>
      <c r="V194" s="1">
        <f t="shared" si="51"/>
        <v>1.0627871144283006E-8</v>
      </c>
      <c r="X194">
        <f t="shared" si="43"/>
        <v>1.627724262045594E-8</v>
      </c>
      <c r="AA194" t="s">
        <v>411</v>
      </c>
      <c r="AB194" t="s">
        <v>224</v>
      </c>
      <c r="AC194">
        <v>350</v>
      </c>
      <c r="AD194" s="1">
        <v>2.0365749594759101E-4</v>
      </c>
      <c r="AE194" s="1">
        <v>5.0850050700132302E-6</v>
      </c>
      <c r="AF194" s="1">
        <v>3.5614845505808302E-6</v>
      </c>
      <c r="AG194">
        <f t="shared" si="57"/>
        <v>2.0375209717794107E-4</v>
      </c>
      <c r="AI194" t="s">
        <v>411</v>
      </c>
      <c r="AJ194" t="s">
        <v>224</v>
      </c>
      <c r="AK194">
        <v>550</v>
      </c>
      <c r="AL194" s="1">
        <v>6.8380650757554905E-5</v>
      </c>
      <c r="AM194" s="1">
        <v>5.3610130301108402E-6</v>
      </c>
      <c r="AN194" s="1">
        <v>1.54495875006525E-6</v>
      </c>
      <c r="AO194">
        <f t="shared" si="58"/>
        <v>6.8607876780112613E-5</v>
      </c>
      <c r="AQ194" t="s">
        <v>411</v>
      </c>
      <c r="AR194" t="s">
        <v>224</v>
      </c>
      <c r="AS194">
        <v>600</v>
      </c>
      <c r="AT194" s="1">
        <v>5.5597768308996099E-5</v>
      </c>
      <c r="AU194" s="1">
        <v>3.3564275100148898E-6</v>
      </c>
      <c r="AV194" s="1">
        <v>5.6111914996967201E-7</v>
      </c>
      <c r="AW194">
        <f t="shared" si="52"/>
        <v>5.570181596026523E-5</v>
      </c>
      <c r="AY194" t="s">
        <v>411</v>
      </c>
      <c r="AZ194" t="s">
        <v>224</v>
      </c>
      <c r="BA194">
        <v>800</v>
      </c>
      <c r="BB194">
        <v>2.2043674260509048E-5</v>
      </c>
      <c r="BD194">
        <f t="shared" si="53"/>
        <v>1.3514422039782845E-4</v>
      </c>
      <c r="BF194">
        <f t="shared" si="54"/>
        <v>1.4805028121767582E-4</v>
      </c>
      <c r="BH194">
        <f t="shared" si="45"/>
        <v>1.8170842291743202E-4</v>
      </c>
      <c r="BJ194">
        <f t="shared" si="46"/>
        <v>7.5876765768077337E-2</v>
      </c>
      <c r="BL194" s="1">
        <f t="shared" si="47"/>
        <v>7.1785551887314739E-2</v>
      </c>
      <c r="BN194">
        <f t="shared" si="48"/>
        <v>8.9578910867837369E-2</v>
      </c>
      <c r="BP194">
        <v>7.7702222952975184</v>
      </c>
      <c r="BQ194" s="4">
        <v>79.48</v>
      </c>
      <c r="BR194">
        <v>11.56</v>
      </c>
      <c r="BT194" s="1">
        <v>3.3858E-7</v>
      </c>
      <c r="BV194" s="11">
        <f t="shared" si="49"/>
        <v>6.6573804831492076</v>
      </c>
    </row>
    <row r="195" spans="1:74" x14ac:dyDescent="0.25">
      <c r="A195" t="s">
        <v>195</v>
      </c>
      <c r="B195" t="s">
        <v>5</v>
      </c>
      <c r="C195" s="1">
        <v>2.9099999999999998E-3</v>
      </c>
      <c r="D195">
        <v>1.7461491917931869E-8</v>
      </c>
      <c r="F195" t="s">
        <v>195</v>
      </c>
      <c r="G195" t="s">
        <v>6</v>
      </c>
      <c r="H195" s="1">
        <v>1.91E-3</v>
      </c>
      <c r="I195">
        <v>1.1416566909539837E-8</v>
      </c>
      <c r="K195" t="s">
        <v>195</v>
      </c>
      <c r="L195" t="s">
        <v>7</v>
      </c>
      <c r="M195" s="1">
        <v>1.5900000000000001E-3</v>
      </c>
      <c r="N195">
        <v>9.5428192899163723E-9</v>
      </c>
      <c r="P195" t="s">
        <v>195</v>
      </c>
      <c r="Q195" t="s">
        <v>446</v>
      </c>
      <c r="R195">
        <v>7.7973072274984785E-9</v>
      </c>
      <c r="T195">
        <f t="shared" si="50"/>
        <v>6.0449250083920316E-9</v>
      </c>
      <c r="V195" s="1">
        <f t="shared" si="51"/>
        <v>7.9186726280154968E-9</v>
      </c>
      <c r="X195">
        <f t="shared" si="43"/>
        <v>9.6641846904333906E-9</v>
      </c>
      <c r="AA195" t="s">
        <v>412</v>
      </c>
      <c r="AB195" t="s">
        <v>224</v>
      </c>
      <c r="AC195">
        <v>350</v>
      </c>
      <c r="AD195" s="1">
        <v>1.6510488290735501E-4</v>
      </c>
      <c r="AE195" s="1">
        <v>3.45350395999835E-6</v>
      </c>
      <c r="AF195" s="1">
        <v>1.88281440001379E-6</v>
      </c>
      <c r="AG195">
        <f t="shared" si="57"/>
        <v>1.6515173035580957E-4</v>
      </c>
      <c r="AI195" t="s">
        <v>412</v>
      </c>
      <c r="AJ195" t="s">
        <v>224</v>
      </c>
      <c r="AK195">
        <v>550</v>
      </c>
      <c r="AL195" s="1">
        <v>5.5066802948168002E-5</v>
      </c>
      <c r="AM195" s="1">
        <v>2.93906045003309E-6</v>
      </c>
      <c r="AN195" s="1">
        <v>9.3992700052017098E-7</v>
      </c>
      <c r="AO195">
        <f t="shared" si="58"/>
        <v>5.5153189626961918E-5</v>
      </c>
      <c r="AQ195" t="s">
        <v>412</v>
      </c>
      <c r="AR195" t="s">
        <v>224</v>
      </c>
      <c r="AS195">
        <v>600</v>
      </c>
      <c r="AT195" s="1">
        <v>4.5189679898262897E-5</v>
      </c>
      <c r="AU195" s="1">
        <v>2.3582546400347399E-6</v>
      </c>
      <c r="AV195" s="1">
        <v>3.8855250053027999E-7</v>
      </c>
      <c r="AW195">
        <f t="shared" si="52"/>
        <v>4.5252839770564447E-5</v>
      </c>
      <c r="AY195" t="s">
        <v>412</v>
      </c>
      <c r="AZ195" t="s">
        <v>224</v>
      </c>
      <c r="BA195">
        <v>800</v>
      </c>
      <c r="BB195">
        <v>1.8919229957164774E-5</v>
      </c>
      <c r="BD195">
        <f t="shared" si="53"/>
        <v>1.0999854072884764E-4</v>
      </c>
      <c r="BF195">
        <f t="shared" si="54"/>
        <v>1.1989889058524513E-4</v>
      </c>
      <c r="BH195">
        <f t="shared" si="45"/>
        <v>1.4623250039864479E-4</v>
      </c>
      <c r="BJ195">
        <f t="shared" si="46"/>
        <v>5.4954592745853778E-2</v>
      </c>
      <c r="BL195" s="1">
        <f t="shared" si="47"/>
        <v>6.6044586312377238E-2</v>
      </c>
      <c r="BN195">
        <f t="shared" si="48"/>
        <v>6.6087803081311139E-2</v>
      </c>
      <c r="BP195">
        <v>5.8088813076681021</v>
      </c>
      <c r="BQ195" s="4">
        <v>79.5</v>
      </c>
      <c r="BR195">
        <v>10.17</v>
      </c>
      <c r="BT195" s="1">
        <v>3.1913999999999998E-7</v>
      </c>
      <c r="BV195" s="11">
        <f t="shared" si="49"/>
        <v>5.3799613248744738</v>
      </c>
    </row>
    <row r="196" spans="1:74" x14ac:dyDescent="0.25">
      <c r="A196" t="s">
        <v>196</v>
      </c>
      <c r="B196" t="s">
        <v>5</v>
      </c>
      <c r="C196" s="1">
        <v>3.5400000000000002E-3</v>
      </c>
      <c r="D196">
        <v>2.1274700937968552E-8</v>
      </c>
      <c r="F196" t="s">
        <v>196</v>
      </c>
      <c r="G196" t="s">
        <v>6</v>
      </c>
      <c r="H196" s="1">
        <v>2.14E-3</v>
      </c>
      <c r="I196">
        <v>1.286011275222733E-8</v>
      </c>
      <c r="K196" t="s">
        <v>196</v>
      </c>
      <c r="L196" t="s">
        <v>7</v>
      </c>
      <c r="M196" s="1">
        <v>1.92E-3</v>
      </c>
      <c r="N196">
        <v>1.1531608734257332E-8</v>
      </c>
      <c r="P196" t="s">
        <v>196</v>
      </c>
      <c r="Q196" t="s">
        <v>446</v>
      </c>
      <c r="R196">
        <v>7.862321540105059E-9</v>
      </c>
      <c r="T196">
        <f t="shared" si="50"/>
        <v>8.4145881857412217E-9</v>
      </c>
      <c r="V196" s="1">
        <f t="shared" si="51"/>
        <v>9.7430922037112198E-9</v>
      </c>
      <c r="X196">
        <f t="shared" si="43"/>
        <v>1.3412379397863493E-8</v>
      </c>
      <c r="AA196" t="s">
        <v>413</v>
      </c>
      <c r="AB196" t="s">
        <v>224</v>
      </c>
      <c r="AC196">
        <v>350</v>
      </c>
      <c r="AD196" s="1">
        <v>2.0101412348018599E-4</v>
      </c>
      <c r="AE196" s="1">
        <v>3.2295990401918901E-6</v>
      </c>
      <c r="AF196" s="1">
        <v>2.4330787501690998E-6</v>
      </c>
      <c r="AG196">
        <f t="shared" si="57"/>
        <v>2.0105478860418222E-4</v>
      </c>
      <c r="AI196" t="s">
        <v>413</v>
      </c>
      <c r="AJ196" t="s">
        <v>224</v>
      </c>
      <c r="AK196">
        <v>550</v>
      </c>
      <c r="AL196" s="1">
        <v>6.6588344182752604E-5</v>
      </c>
      <c r="AM196" s="1">
        <v>1.24576098999338E-6</v>
      </c>
      <c r="AN196" s="1">
        <v>1.07450184999816E-6</v>
      </c>
      <c r="AO196">
        <f t="shared" si="58"/>
        <v>6.6608663518123241E-5</v>
      </c>
      <c r="AQ196" t="s">
        <v>413</v>
      </c>
      <c r="AR196" t="s">
        <v>224</v>
      </c>
      <c r="AS196">
        <v>600</v>
      </c>
      <c r="AT196" s="1">
        <v>5.4982112077056799E-5</v>
      </c>
      <c r="AU196" s="1">
        <v>1.6651509899272101E-6</v>
      </c>
      <c r="AV196" s="1">
        <v>5.2275730027754697E-7</v>
      </c>
      <c r="AW196">
        <f t="shared" si="52"/>
        <v>5.5009805048448269E-5</v>
      </c>
      <c r="AY196" t="s">
        <v>413</v>
      </c>
      <c r="AZ196" t="s">
        <v>224</v>
      </c>
      <c r="BA196">
        <v>800</v>
      </c>
      <c r="BB196">
        <v>2.2620102210212828E-5</v>
      </c>
      <c r="BD196">
        <f t="shared" si="53"/>
        <v>1.3444612508605898E-4</v>
      </c>
      <c r="BF196">
        <f t="shared" si="54"/>
        <v>1.4604498355573394E-4</v>
      </c>
      <c r="BH196">
        <f t="shared" si="45"/>
        <v>1.7843468639396938E-4</v>
      </c>
      <c r="BJ196">
        <f t="shared" si="46"/>
        <v>6.2587063631287576E-2</v>
      </c>
      <c r="BL196" s="1">
        <f t="shared" si="47"/>
        <v>6.6712953546898407E-2</v>
      </c>
      <c r="BN196">
        <f t="shared" si="48"/>
        <v>7.5166884135128537E-2</v>
      </c>
      <c r="BP196">
        <v>5.9145146341238606</v>
      </c>
      <c r="BQ196" s="4">
        <v>79.52</v>
      </c>
      <c r="BR196">
        <v>11.04</v>
      </c>
      <c r="BT196" s="1">
        <v>3.4054E-7</v>
      </c>
      <c r="BV196" s="11">
        <f t="shared" si="49"/>
        <v>5.6588249379844058</v>
      </c>
    </row>
    <row r="197" spans="1:74" x14ac:dyDescent="0.25">
      <c r="A197" t="s">
        <v>197</v>
      </c>
      <c r="B197" t="s">
        <v>5</v>
      </c>
      <c r="C197" s="1">
        <v>2.96E-3</v>
      </c>
      <c r="D197">
        <v>1.7787627722661618E-8</v>
      </c>
      <c r="F197" t="s">
        <v>197</v>
      </c>
      <c r="G197" t="s">
        <v>6</v>
      </c>
      <c r="H197" s="1">
        <v>1.8600000000000001E-3</v>
      </c>
      <c r="I197">
        <v>1.1119082695978119E-8</v>
      </c>
      <c r="K197" t="s">
        <v>197</v>
      </c>
      <c r="L197" t="s">
        <v>7</v>
      </c>
      <c r="M197" s="1">
        <v>1.92E-3</v>
      </c>
      <c r="N197">
        <v>1.1512792884439466E-8</v>
      </c>
      <c r="P197" t="s">
        <v>197</v>
      </c>
      <c r="Q197" t="s">
        <v>446</v>
      </c>
      <c r="R197">
        <v>7.9758021540156066E-9</v>
      </c>
      <c r="T197">
        <f t="shared" si="50"/>
        <v>6.6685450266834988E-9</v>
      </c>
      <c r="V197" s="1">
        <f t="shared" si="51"/>
        <v>6.2748348382221519E-9</v>
      </c>
      <c r="X197">
        <f t="shared" si="43"/>
        <v>9.8118255686460111E-9</v>
      </c>
      <c r="AA197" t="s">
        <v>414</v>
      </c>
      <c r="AB197" t="s">
        <v>224</v>
      </c>
      <c r="AC197">
        <v>350</v>
      </c>
      <c r="AD197" s="1">
        <v>1.6864394429871599E-4</v>
      </c>
      <c r="AE197" s="1">
        <v>1.3466859600562401E-6</v>
      </c>
      <c r="AF197" s="1">
        <v>1.5444653504944399E-6</v>
      </c>
      <c r="AG197">
        <f t="shared" si="57"/>
        <v>1.6865639295598112E-4</v>
      </c>
      <c r="AI197" t="s">
        <v>414</v>
      </c>
      <c r="AJ197" t="s">
        <v>224</v>
      </c>
      <c r="AK197">
        <v>550</v>
      </c>
      <c r="AL197" s="1">
        <v>5.61259917091226E-5</v>
      </c>
      <c r="AM197" s="1">
        <v>1.3298856901091799E-6</v>
      </c>
      <c r="AN197" s="1">
        <v>-5.8726935002940905E-7</v>
      </c>
      <c r="AO197">
        <f t="shared" si="58"/>
        <v>5.6144816560130822E-5</v>
      </c>
      <c r="AQ197" t="s">
        <v>414</v>
      </c>
      <c r="AR197" t="s">
        <v>224</v>
      </c>
      <c r="AS197">
        <v>600</v>
      </c>
      <c r="AT197" s="1">
        <v>4.4945115660362199E-5</v>
      </c>
      <c r="AU197" s="1">
        <v>1.37942305003309E-6</v>
      </c>
      <c r="AV197" s="1">
        <v>2.52867499889717E-7</v>
      </c>
      <c r="AW197">
        <f t="shared" si="52"/>
        <v>4.4966989799705274E-5</v>
      </c>
      <c r="AY197" t="s">
        <v>414</v>
      </c>
      <c r="AZ197" t="s">
        <v>224</v>
      </c>
      <c r="BA197">
        <v>800</v>
      </c>
      <c r="BB197">
        <v>1.839705383339331E-5</v>
      </c>
      <c r="BD197">
        <f t="shared" si="53"/>
        <v>1.125115763958503E-4</v>
      </c>
      <c r="BF197">
        <f t="shared" si="54"/>
        <v>1.2368940315627585E-4</v>
      </c>
      <c r="BH197">
        <f t="shared" si="45"/>
        <v>1.5025933912258781E-4</v>
      </c>
      <c r="BJ197">
        <f t="shared" si="46"/>
        <v>5.9269856847632356E-2</v>
      </c>
      <c r="BL197" s="1">
        <f t="shared" si="47"/>
        <v>5.0730577382560316E-2</v>
      </c>
      <c r="BN197">
        <f t="shared" si="48"/>
        <v>6.5299272750302173E-2</v>
      </c>
      <c r="BP197">
        <v>5.6468236780517858</v>
      </c>
      <c r="BQ197" s="4">
        <v>79.539999999999992</v>
      </c>
      <c r="BR197">
        <v>10.49</v>
      </c>
      <c r="BT197" s="1">
        <v>3.3199E-7</v>
      </c>
      <c r="BV197" s="11">
        <f t="shared" si="49"/>
        <v>5.1076077936299544</v>
      </c>
    </row>
    <row r="198" spans="1:74" x14ac:dyDescent="0.25">
      <c r="A198" t="s">
        <v>198</v>
      </c>
      <c r="B198" t="s">
        <v>5</v>
      </c>
      <c r="C198" s="1">
        <v>4.4099999999999999E-3</v>
      </c>
      <c r="D198">
        <v>2.6445047948529042E-8</v>
      </c>
      <c r="F198" t="s">
        <v>198</v>
      </c>
      <c r="G198" t="s">
        <v>6</v>
      </c>
      <c r="H198" s="1">
        <v>2.9099999999999998E-3</v>
      </c>
      <c r="I198">
        <v>1.7502799776035834E-8</v>
      </c>
      <c r="K198" t="s">
        <v>198</v>
      </c>
      <c r="L198" t="s">
        <v>7</v>
      </c>
      <c r="M198" s="1">
        <v>2.6800000000000001E-3</v>
      </c>
      <c r="N198">
        <v>1.6051610168453507E-8</v>
      </c>
      <c r="P198" t="s">
        <v>198</v>
      </c>
      <c r="Q198" t="s">
        <v>446</v>
      </c>
      <c r="R198">
        <v>9.6642175058304648E-9</v>
      </c>
      <c r="T198">
        <f t="shared" si="50"/>
        <v>8.9422481724932085E-9</v>
      </c>
      <c r="V198" s="1">
        <f t="shared" si="51"/>
        <v>1.0393437780075535E-8</v>
      </c>
      <c r="X198">
        <f t="shared" si="43"/>
        <v>1.6780830442698576E-8</v>
      </c>
      <c r="AA198" t="s">
        <v>415</v>
      </c>
      <c r="AB198" t="s">
        <v>224</v>
      </c>
      <c r="AC198">
        <v>350</v>
      </c>
      <c r="AD198" s="1">
        <v>1.66627063188142E-4</v>
      </c>
      <c r="AE198" s="1">
        <v>3.40125290003309E-6</v>
      </c>
      <c r="AF198" s="1">
        <v>3.7037071000055101E-6</v>
      </c>
      <c r="AG198">
        <f t="shared" si="57"/>
        <v>1.667029218528508E-4</v>
      </c>
      <c r="AI198" t="s">
        <v>415</v>
      </c>
      <c r="AJ198" t="s">
        <v>224</v>
      </c>
      <c r="AK198">
        <v>550</v>
      </c>
      <c r="AL198" s="1">
        <v>5.5098866108214499E-5</v>
      </c>
      <c r="AM198" s="1">
        <v>3.05273981007279E-6</v>
      </c>
      <c r="AN198" s="1">
        <v>2.40470824961217E-6</v>
      </c>
      <c r="AO198">
        <f t="shared" si="58"/>
        <v>5.5235739232173801E-5</v>
      </c>
      <c r="AQ198" t="s">
        <v>415</v>
      </c>
      <c r="AR198" t="s">
        <v>224</v>
      </c>
      <c r="AS198">
        <v>600</v>
      </c>
      <c r="AT198" s="1">
        <v>4.4318801236346102E-5</v>
      </c>
      <c r="AU198" s="1">
        <v>1.9698254900264699E-6</v>
      </c>
      <c r="AV198" s="1">
        <v>2.0622886494118202E-6</v>
      </c>
      <c r="AW198">
        <f t="shared" si="52"/>
        <v>4.4410464869908799E-5</v>
      </c>
      <c r="AY198" t="s">
        <v>415</v>
      </c>
      <c r="AZ198" t="s">
        <v>224</v>
      </c>
      <c r="BA198">
        <v>800</v>
      </c>
      <c r="BB198">
        <v>1.9238108394200758E-5</v>
      </c>
      <c r="BD198">
        <f t="shared" si="53"/>
        <v>1.11467182620677E-4</v>
      </c>
      <c r="BF198">
        <f t="shared" si="54"/>
        <v>1.2229245698294199E-4</v>
      </c>
      <c r="BH198">
        <f t="shared" si="45"/>
        <v>1.4746481345865003E-4</v>
      </c>
      <c r="BJ198">
        <f t="shared" si="46"/>
        <v>8.0223146959080269E-2</v>
      </c>
      <c r="BL198" s="1">
        <f t="shared" si="47"/>
        <v>8.4988379794554855E-2</v>
      </c>
      <c r="BN198">
        <f t="shared" si="48"/>
        <v>0.11379548821932368</v>
      </c>
      <c r="BP198">
        <v>8.6880342088142832</v>
      </c>
      <c r="BQ198" s="4">
        <v>79.559999999999988</v>
      </c>
      <c r="BR198">
        <v>10.27</v>
      </c>
      <c r="BT198" s="1">
        <v>3.3243999999999998E-7</v>
      </c>
      <c r="BV198" s="11">
        <f t="shared" si="49"/>
        <v>7.7456994526818868</v>
      </c>
    </row>
    <row r="199" spans="1:74" x14ac:dyDescent="0.25">
      <c r="A199" t="s">
        <v>199</v>
      </c>
      <c r="B199" t="s">
        <v>5</v>
      </c>
      <c r="C199" s="1">
        <v>2.5600000000000002E-3</v>
      </c>
      <c r="D199">
        <v>1.5398587597568809E-8</v>
      </c>
      <c r="F199" t="s">
        <v>199</v>
      </c>
      <c r="G199" t="s">
        <v>6</v>
      </c>
      <c r="H199" s="1">
        <v>1.9400000000000001E-3</v>
      </c>
      <c r="I199">
        <v>1.1641775680711255E-8</v>
      </c>
      <c r="K199" t="s">
        <v>199</v>
      </c>
      <c r="L199" t="s">
        <v>7</v>
      </c>
      <c r="M199" s="1">
        <v>1.58E-3</v>
      </c>
      <c r="N199">
        <v>9.4818352653903435E-9</v>
      </c>
      <c r="P199" t="s">
        <v>199</v>
      </c>
      <c r="Q199" t="s">
        <v>446</v>
      </c>
      <c r="R199">
        <v>8.396566202918905E-9</v>
      </c>
      <c r="T199">
        <f t="shared" si="50"/>
        <v>3.7568119168575535E-9</v>
      </c>
      <c r="V199" s="1">
        <f t="shared" si="51"/>
        <v>5.9167523321784654E-9</v>
      </c>
      <c r="X199">
        <f t="shared" ref="X199:X218" si="59">D199-R199</f>
        <v>7.002021394649904E-9</v>
      </c>
      <c r="AA199" t="s">
        <v>416</v>
      </c>
      <c r="AB199" t="s">
        <v>224</v>
      </c>
      <c r="AC199">
        <v>350</v>
      </c>
      <c r="AD199" s="1">
        <v>1.6797296263473899E-4</v>
      </c>
      <c r="AE199" s="1">
        <v>3.24834823998511E-6</v>
      </c>
      <c r="AF199" s="1">
        <v>6.5239814941641701E-7</v>
      </c>
      <c r="AG199">
        <f t="shared" si="57"/>
        <v>1.6800563551835099E-4</v>
      </c>
      <c r="AI199" t="s">
        <v>416</v>
      </c>
      <c r="AJ199" t="s">
        <v>224</v>
      </c>
      <c r="AK199">
        <v>550</v>
      </c>
      <c r="AL199" s="1">
        <v>5.4757404863952501E-5</v>
      </c>
      <c r="AM199" s="1">
        <v>3.0017469200049602E-6</v>
      </c>
      <c r="AN199" s="1">
        <v>4.03724549949453E-7</v>
      </c>
      <c r="AO199">
        <f t="shared" si="58"/>
        <v>5.484110561904091E-5</v>
      </c>
      <c r="AQ199" t="s">
        <v>416</v>
      </c>
      <c r="AR199" t="s">
        <v>224</v>
      </c>
      <c r="AS199">
        <v>600</v>
      </c>
      <c r="AT199" s="1">
        <v>4.68322406393182E-5</v>
      </c>
      <c r="AU199" s="1">
        <v>2.6654948200132298E-6</v>
      </c>
      <c r="AV199" s="1">
        <v>5.7838814994118197E-7</v>
      </c>
      <c r="AW199">
        <f t="shared" si="52"/>
        <v>4.6911599405546992E-5</v>
      </c>
      <c r="AY199" t="s">
        <v>416</v>
      </c>
      <c r="AZ199" t="s">
        <v>224</v>
      </c>
      <c r="BA199">
        <v>800</v>
      </c>
      <c r="BB199">
        <v>2.1808085517776036E-5</v>
      </c>
      <c r="BD199">
        <f t="shared" si="53"/>
        <v>1.1316452989931008E-4</v>
      </c>
      <c r="BF199">
        <f t="shared" si="54"/>
        <v>1.2109403611280399E-4</v>
      </c>
      <c r="BH199">
        <f t="shared" ref="BH199:BH218" si="60">AG199-BB199</f>
        <v>1.4619755000057496E-4</v>
      </c>
      <c r="BJ199">
        <f t="shared" ref="BJ199:BJ218" si="61">T199*1000/BD199</f>
        <v>3.3197786622718585E-2</v>
      </c>
      <c r="BL199" s="1">
        <f t="shared" ref="BL199:BL219" si="62">V199*1000/BF199</f>
        <v>4.886080703980146E-2</v>
      </c>
      <c r="BN199">
        <f t="shared" ref="BN199:BN218" si="63">X199*1000/BH199</f>
        <v>4.789424579702168E-2</v>
      </c>
      <c r="BP199">
        <v>5.1802488411791705</v>
      </c>
      <c r="BQ199" s="4">
        <v>79.579999999999984</v>
      </c>
      <c r="BR199">
        <v>9.85</v>
      </c>
      <c r="BT199" s="1">
        <v>3.4516E-7</v>
      </c>
      <c r="BV199" s="11">
        <f t="shared" ref="BV199:BV218" si="64">D199*1000/BR199/BT199</f>
        <v>4.5292281421369234</v>
      </c>
    </row>
    <row r="200" spans="1:74" x14ac:dyDescent="0.25">
      <c r="A200" t="s">
        <v>200</v>
      </c>
      <c r="B200" t="s">
        <v>5</v>
      </c>
      <c r="C200" s="1">
        <v>2E-3</v>
      </c>
      <c r="D200">
        <v>1.1986698836627205E-8</v>
      </c>
      <c r="F200" t="s">
        <v>200</v>
      </c>
      <c r="G200" t="s">
        <v>6</v>
      </c>
      <c r="H200" s="1">
        <v>1.32E-3</v>
      </c>
      <c r="I200">
        <v>7.9186186295338159E-9</v>
      </c>
      <c r="K200" t="s">
        <v>200</v>
      </c>
      <c r="L200" t="s">
        <v>7</v>
      </c>
      <c r="M200" s="1">
        <v>1.09E-3</v>
      </c>
      <c r="N200">
        <v>6.5382795902286099E-9</v>
      </c>
      <c r="P200" t="s">
        <v>200</v>
      </c>
      <c r="Q200" t="s">
        <v>446</v>
      </c>
      <c r="R200">
        <v>4.9806549770085456E-9</v>
      </c>
      <c r="T200">
        <f t="shared" ref="T200:T218" si="65">D200-I200</f>
        <v>4.0680802070933893E-9</v>
      </c>
      <c r="V200" s="1">
        <f t="shared" ref="V200:V219" si="66">D200-N200</f>
        <v>5.4484192463985953E-9</v>
      </c>
      <c r="X200">
        <f t="shared" si="59"/>
        <v>7.0060438596186596E-9</v>
      </c>
      <c r="AA200" t="s">
        <v>417</v>
      </c>
      <c r="AB200" t="s">
        <v>224</v>
      </c>
      <c r="AC200">
        <v>350</v>
      </c>
      <c r="AD200" s="1">
        <v>1.01748722846149E-4</v>
      </c>
      <c r="AE200" s="1">
        <v>4.6722513021009E-7</v>
      </c>
      <c r="AF200" s="1">
        <v>1.563091199773E-6</v>
      </c>
      <c r="AG200">
        <f t="shared" si="57"/>
        <v>1.0176180105640599E-4</v>
      </c>
      <c r="AI200" t="s">
        <v>417</v>
      </c>
      <c r="AJ200" t="s">
        <v>224</v>
      </c>
      <c r="AK200">
        <v>550</v>
      </c>
      <c r="AL200" s="1">
        <v>3.5173823060547401E-5</v>
      </c>
      <c r="AM200" s="1">
        <v>1.9661003199801498E-6</v>
      </c>
      <c r="AN200" s="1">
        <v>8.4667439939344095E-7</v>
      </c>
      <c r="AO200">
        <f t="shared" si="58"/>
        <v>3.523890231975892E-5</v>
      </c>
      <c r="AQ200" t="s">
        <v>417</v>
      </c>
      <c r="AR200" t="s">
        <v>224</v>
      </c>
      <c r="AS200">
        <v>600</v>
      </c>
      <c r="AT200" s="1">
        <v>2.83152773844422E-5</v>
      </c>
      <c r="AU200" s="1">
        <v>8.2382997997022401E-7</v>
      </c>
      <c r="AV200" s="1">
        <v>6.0392159944490697E-7</v>
      </c>
      <c r="AW200">
        <f t="shared" ref="AW200:AW218" si="67">SQRT(AT200^2+AU200^2+AV200^2)</f>
        <v>2.8333696378906828E-5</v>
      </c>
      <c r="AY200" t="s">
        <v>417</v>
      </c>
      <c r="AZ200" t="s">
        <v>224</v>
      </c>
      <c r="BA200">
        <v>800</v>
      </c>
      <c r="BB200">
        <v>1.1092846936283659E-5</v>
      </c>
      <c r="BD200">
        <f t="shared" ref="BD200:BD218" si="68">AG200-AO200</f>
        <v>6.6522898736647072E-5</v>
      </c>
      <c r="BF200">
        <f t="shared" ref="BF200:BF219" si="69">AG200-AW200</f>
        <v>7.3428104677499161E-5</v>
      </c>
      <c r="BH200">
        <f t="shared" si="60"/>
        <v>9.0668954120122326E-5</v>
      </c>
      <c r="BJ200">
        <f t="shared" si="61"/>
        <v>6.1153080884196472E-2</v>
      </c>
      <c r="BL200" s="1">
        <f t="shared" si="62"/>
        <v>7.4200733769833688E-2</v>
      </c>
      <c r="BN200">
        <f t="shared" si="63"/>
        <v>7.7270593088972175E-2</v>
      </c>
      <c r="BP200">
        <v>6.6426205069768081</v>
      </c>
      <c r="BQ200" s="4">
        <v>79.59999999999998</v>
      </c>
      <c r="BR200">
        <v>6.84</v>
      </c>
      <c r="BT200" s="1">
        <v>3.0443999999999999E-7</v>
      </c>
      <c r="BV200" s="11">
        <f t="shared" si="64"/>
        <v>5.7562782498492124</v>
      </c>
    </row>
    <row r="201" spans="1:74" x14ac:dyDescent="0.25">
      <c r="A201" t="s">
        <v>201</v>
      </c>
      <c r="B201" t="s">
        <v>5</v>
      </c>
      <c r="C201" s="1">
        <v>2.5799999999999998E-3</v>
      </c>
      <c r="D201">
        <v>1.5504558071741355E-8</v>
      </c>
      <c r="F201" t="s">
        <v>201</v>
      </c>
      <c r="G201" t="s">
        <v>6</v>
      </c>
      <c r="H201" s="1">
        <v>1.5E-3</v>
      </c>
      <c r="I201">
        <v>8.9956923580122504E-9</v>
      </c>
      <c r="K201" t="s">
        <v>201</v>
      </c>
      <c r="L201" t="s">
        <v>7</v>
      </c>
      <c r="M201" s="1">
        <v>1.47E-3</v>
      </c>
      <c r="N201">
        <v>8.8228034660191765E-9</v>
      </c>
      <c r="P201" t="s">
        <v>201</v>
      </c>
      <c r="Q201" t="s">
        <v>446</v>
      </c>
      <c r="R201">
        <v>6.3639944217448841E-9</v>
      </c>
      <c r="T201">
        <f t="shared" si="65"/>
        <v>6.5088657137291045E-9</v>
      </c>
      <c r="V201" s="1">
        <f t="shared" si="66"/>
        <v>6.6817546057221785E-9</v>
      </c>
      <c r="X201">
        <f t="shared" si="59"/>
        <v>9.1405636499964709E-9</v>
      </c>
      <c r="AA201" t="s">
        <v>418</v>
      </c>
      <c r="AB201" t="s">
        <v>224</v>
      </c>
      <c r="AC201">
        <v>350</v>
      </c>
      <c r="AD201" s="1">
        <v>1.2256220191431599E-4</v>
      </c>
      <c r="AE201" s="1">
        <v>3.2776562002150502E-7</v>
      </c>
      <c r="AF201" s="1">
        <v>3.4228391499108502E-6</v>
      </c>
      <c r="AG201">
        <f t="shared" si="57"/>
        <v>1.2261042613184814E-4</v>
      </c>
      <c r="AI201" t="s">
        <v>418</v>
      </c>
      <c r="AJ201" t="s">
        <v>224</v>
      </c>
      <c r="AK201">
        <v>550</v>
      </c>
      <c r="AL201" s="1">
        <v>4.0234755145547799E-5</v>
      </c>
      <c r="AM201" s="1">
        <v>2.0300696302349E-6</v>
      </c>
      <c r="AN201" s="1">
        <v>3.4856242997628898E-6</v>
      </c>
      <c r="AO201">
        <f t="shared" si="58"/>
        <v>4.0436447434027692E-5</v>
      </c>
      <c r="AQ201" t="s">
        <v>418</v>
      </c>
      <c r="AR201" t="s">
        <v>224</v>
      </c>
      <c r="AS201">
        <v>600</v>
      </c>
      <c r="AT201" s="1">
        <v>3.2051095810841901E-5</v>
      </c>
      <c r="AU201" s="1">
        <v>1.19686505009926E-6</v>
      </c>
      <c r="AV201" s="1">
        <v>3.1103935993952799E-6</v>
      </c>
      <c r="AW201">
        <f t="shared" si="67"/>
        <v>3.2223900709986609E-5</v>
      </c>
      <c r="AY201" t="s">
        <v>418</v>
      </c>
      <c r="AZ201" t="s">
        <v>224</v>
      </c>
      <c r="BA201">
        <v>800</v>
      </c>
      <c r="BB201">
        <v>1.370324159457844E-5</v>
      </c>
      <c r="BD201">
        <f t="shared" si="68"/>
        <v>8.217397869782046E-5</v>
      </c>
      <c r="BF201">
        <f t="shared" si="69"/>
        <v>9.0386525421861535E-5</v>
      </c>
      <c r="BH201">
        <f t="shared" si="60"/>
        <v>1.0890718453726971E-4</v>
      </c>
      <c r="BJ201">
        <f t="shared" si="61"/>
        <v>7.9208355453546306E-2</v>
      </c>
      <c r="BL201" s="1">
        <f t="shared" si="62"/>
        <v>7.3924233446704443E-2</v>
      </c>
      <c r="BN201">
        <f t="shared" si="63"/>
        <v>8.3929849888539076E-2</v>
      </c>
      <c r="BP201">
        <v>6.7444589787983453</v>
      </c>
      <c r="BQ201" s="3">
        <v>79.62</v>
      </c>
      <c r="BR201">
        <v>7.53</v>
      </c>
      <c r="BT201" s="1">
        <v>3.2608000000000002E-7</v>
      </c>
      <c r="BV201" s="11">
        <f t="shared" si="64"/>
        <v>6.3145186964528843</v>
      </c>
    </row>
    <row r="202" spans="1:74" x14ac:dyDescent="0.25">
      <c r="A202" t="s">
        <v>202</v>
      </c>
      <c r="B202" t="s">
        <v>5</v>
      </c>
      <c r="C202" s="1">
        <v>3.2599999999999999E-3</v>
      </c>
      <c r="D202">
        <v>1.9578419241603753E-8</v>
      </c>
      <c r="F202" t="s">
        <v>202</v>
      </c>
      <c r="G202" t="s">
        <v>6</v>
      </c>
      <c r="H202" s="1">
        <v>2.15E-3</v>
      </c>
      <c r="I202">
        <v>1.2880911031444943E-8</v>
      </c>
      <c r="K202" t="s">
        <v>202</v>
      </c>
      <c r="L202" t="s">
        <v>7</v>
      </c>
      <c r="M202" s="1">
        <v>2.1199999999999999E-3</v>
      </c>
      <c r="N202">
        <v>1.2701188920727066E-8</v>
      </c>
      <c r="P202" t="s">
        <v>202</v>
      </c>
      <c r="Q202" t="s">
        <v>446</v>
      </c>
      <c r="R202">
        <v>8.4002978518621595E-9</v>
      </c>
      <c r="T202">
        <f t="shared" si="65"/>
        <v>6.6975082101588105E-9</v>
      </c>
      <c r="V202" s="1">
        <f t="shared" si="66"/>
        <v>6.877230320876687E-9</v>
      </c>
      <c r="X202">
        <f t="shared" si="59"/>
        <v>1.1178121389741594E-8</v>
      </c>
      <c r="AA202" t="s">
        <v>419</v>
      </c>
      <c r="AB202" t="s">
        <v>224</v>
      </c>
      <c r="AC202">
        <v>350</v>
      </c>
      <c r="AD202" s="1">
        <v>1.76336794636342E-4</v>
      </c>
      <c r="AE202" s="1">
        <v>3.0068536099817998E-6</v>
      </c>
      <c r="AF202" s="1">
        <v>2.5854159993300298E-6</v>
      </c>
      <c r="AG202">
        <f t="shared" si="57"/>
        <v>1.7638137851581982E-4</v>
      </c>
      <c r="AI202" t="s">
        <v>419</v>
      </c>
      <c r="AJ202" t="s">
        <v>224</v>
      </c>
      <c r="AK202">
        <v>550</v>
      </c>
      <c r="AL202" s="1">
        <v>5.8992125522829198E-5</v>
      </c>
      <c r="AM202" s="1">
        <v>2.88954776000662E-6</v>
      </c>
      <c r="AN202" s="1">
        <v>6.6263619984744104E-7</v>
      </c>
      <c r="AO202">
        <f t="shared" si="58"/>
        <v>5.906656792714423E-5</v>
      </c>
      <c r="AQ202" t="s">
        <v>419</v>
      </c>
      <c r="AR202" t="s">
        <v>224</v>
      </c>
      <c r="AS202">
        <v>600</v>
      </c>
      <c r="AT202" s="1">
        <v>4.8668506864126397E-5</v>
      </c>
      <c r="AU202" s="1">
        <v>2.58862310001654E-6</v>
      </c>
      <c r="AV202" s="1">
        <v>1.8202759498878799E-6</v>
      </c>
      <c r="AW202">
        <f t="shared" si="67"/>
        <v>4.877128186208763E-5</v>
      </c>
      <c r="AY202" t="s">
        <v>419</v>
      </c>
      <c r="AZ202" t="s">
        <v>224</v>
      </c>
      <c r="BA202">
        <v>800</v>
      </c>
      <c r="BB202">
        <v>2.0220655931618648E-5</v>
      </c>
      <c r="BD202">
        <f t="shared" si="68"/>
        <v>1.1731481058867559E-4</v>
      </c>
      <c r="BF202">
        <f t="shared" si="69"/>
        <v>1.276100966537322E-4</v>
      </c>
      <c r="BH202">
        <f t="shared" si="60"/>
        <v>1.5616072258420118E-4</v>
      </c>
      <c r="BJ202">
        <f t="shared" si="61"/>
        <v>5.7090048362617586E-2</v>
      </c>
      <c r="BL202" s="1">
        <f t="shared" si="62"/>
        <v>5.3892524974241914E-2</v>
      </c>
      <c r="BN202">
        <f t="shared" si="63"/>
        <v>7.1580876450635017E-2</v>
      </c>
      <c r="BP202">
        <v>6.7503195487013548</v>
      </c>
      <c r="BQ202" s="4">
        <v>79.64</v>
      </c>
      <c r="BR202">
        <v>10.25</v>
      </c>
      <c r="BT202" s="1">
        <v>3.3425000000000002E-7</v>
      </c>
      <c r="BV202" s="11">
        <f t="shared" si="64"/>
        <v>5.7145540227604572</v>
      </c>
    </row>
    <row r="203" spans="1:74" x14ac:dyDescent="0.25">
      <c r="A203" t="s">
        <v>203</v>
      </c>
      <c r="B203" t="s">
        <v>5</v>
      </c>
      <c r="C203" s="1">
        <v>2.0699999999999998E-3</v>
      </c>
      <c r="D203">
        <v>1.2454746444629053E-8</v>
      </c>
      <c r="F203" t="s">
        <v>203</v>
      </c>
      <c r="G203" t="s">
        <v>6</v>
      </c>
      <c r="H203" s="1">
        <v>1.39E-3</v>
      </c>
      <c r="I203">
        <v>8.3404988459923678E-9</v>
      </c>
      <c r="K203" t="s">
        <v>203</v>
      </c>
      <c r="L203" t="s">
        <v>7</v>
      </c>
      <c r="M203" s="1">
        <v>1.33E-3</v>
      </c>
      <c r="N203">
        <v>7.9783394262214742E-9</v>
      </c>
      <c r="P203" t="s">
        <v>203</v>
      </c>
      <c r="Q203" t="s">
        <v>446</v>
      </c>
      <c r="R203">
        <v>7.262651031131814E-9</v>
      </c>
      <c r="T203">
        <f t="shared" si="65"/>
        <v>4.1142475986366847E-9</v>
      </c>
      <c r="V203" s="1">
        <f t="shared" si="66"/>
        <v>4.4764070184075783E-9</v>
      </c>
      <c r="X203">
        <f t="shared" si="59"/>
        <v>5.1920954134972385E-9</v>
      </c>
      <c r="AA203" t="s">
        <v>420</v>
      </c>
      <c r="AB203" t="s">
        <v>224</v>
      </c>
      <c r="AC203">
        <v>350</v>
      </c>
      <c r="AD203" s="1">
        <v>1.7347977117396999E-4</v>
      </c>
      <c r="AE203" s="1">
        <v>3.4555515700628599E-6</v>
      </c>
      <c r="AF203" s="1">
        <v>5.7859784498492804E-6</v>
      </c>
      <c r="AG203">
        <f t="shared" si="57"/>
        <v>1.7361062579764083E-4</v>
      </c>
      <c r="AI203" t="s">
        <v>420</v>
      </c>
      <c r="AJ203" t="s">
        <v>224</v>
      </c>
      <c r="AK203">
        <v>550</v>
      </c>
      <c r="AL203" s="1">
        <v>5.82650223136572E-5</v>
      </c>
      <c r="AM203" s="1">
        <v>1.94012280999007E-6</v>
      </c>
      <c r="AN203" s="1">
        <v>2.90822294918574E-6</v>
      </c>
      <c r="AO203">
        <f t="shared" si="58"/>
        <v>5.8369809511861403E-5</v>
      </c>
      <c r="AQ203" t="s">
        <v>420</v>
      </c>
      <c r="AR203" t="s">
        <v>224</v>
      </c>
      <c r="AS203">
        <v>600</v>
      </c>
      <c r="AT203" s="1">
        <v>4.7288686888036398E-5</v>
      </c>
      <c r="AU203" s="1">
        <v>3.1648649599652601E-6</v>
      </c>
      <c r="AV203" s="1">
        <v>3.0610535992326098E-6</v>
      </c>
      <c r="AW203">
        <f t="shared" si="67"/>
        <v>4.7493224010872712E-5</v>
      </c>
      <c r="AY203" t="s">
        <v>420</v>
      </c>
      <c r="AZ203" t="s">
        <v>224</v>
      </c>
      <c r="BA203">
        <v>800</v>
      </c>
      <c r="BB203">
        <v>2.0338269425809571E-5</v>
      </c>
      <c r="BD203">
        <f t="shared" si="68"/>
        <v>1.1524081628577942E-4</v>
      </c>
      <c r="BF203">
        <f t="shared" si="69"/>
        <v>1.2611740178676811E-4</v>
      </c>
      <c r="BH203">
        <f t="shared" si="60"/>
        <v>1.5327235637183125E-4</v>
      </c>
      <c r="BJ203">
        <f t="shared" si="61"/>
        <v>3.5701305589800635E-2</v>
      </c>
      <c r="BL203" s="1">
        <f t="shared" si="62"/>
        <v>3.5493967961503239E-2</v>
      </c>
      <c r="BN203">
        <f t="shared" si="63"/>
        <v>3.387496308141482E-2</v>
      </c>
      <c r="BP203">
        <v>4.1065425335166363</v>
      </c>
      <c r="BQ203" s="4">
        <v>79.66</v>
      </c>
      <c r="BR203">
        <v>10.16</v>
      </c>
      <c r="BT203" s="1">
        <v>3.4133E-7</v>
      </c>
      <c r="BV203" s="11">
        <f t="shared" si="64"/>
        <v>3.591424341646956</v>
      </c>
    </row>
    <row r="204" spans="1:74" x14ac:dyDescent="0.25">
      <c r="A204" t="s">
        <v>204</v>
      </c>
      <c r="B204" t="s">
        <v>5</v>
      </c>
      <c r="C204" s="1">
        <v>2.9199999999999999E-3</v>
      </c>
      <c r="D204">
        <v>1.7509911478931011E-8</v>
      </c>
      <c r="F204" t="s">
        <v>204</v>
      </c>
      <c r="G204" t="s">
        <v>6</v>
      </c>
      <c r="H204" s="1">
        <v>1.9499999999999999E-3</v>
      </c>
      <c r="I204">
        <v>1.1695476246822958E-8</v>
      </c>
      <c r="K204" t="s">
        <v>204</v>
      </c>
      <c r="L204" t="s">
        <v>7</v>
      </c>
      <c r="M204" s="1">
        <v>1.6199999999999999E-3</v>
      </c>
      <c r="N204">
        <v>9.7196291616501511E-9</v>
      </c>
      <c r="P204" t="s">
        <v>204</v>
      </c>
      <c r="Q204" t="s">
        <v>446</v>
      </c>
      <c r="R204">
        <v>7.4414111564944454E-9</v>
      </c>
      <c r="T204">
        <f t="shared" si="65"/>
        <v>5.8144352321080525E-9</v>
      </c>
      <c r="V204" s="1">
        <f t="shared" si="66"/>
        <v>7.7902823172808597E-9</v>
      </c>
      <c r="X204">
        <f t="shared" si="59"/>
        <v>1.0068500322436566E-8</v>
      </c>
      <c r="AA204" t="s">
        <v>421</v>
      </c>
      <c r="AB204" t="s">
        <v>224</v>
      </c>
      <c r="AC204">
        <v>350</v>
      </c>
      <c r="AD204" s="1">
        <v>1.9983950751061301E-4</v>
      </c>
      <c r="AE204" s="1">
        <v>1.27748661011414E-6</v>
      </c>
      <c r="AF204" s="1">
        <v>5.8583848994274502E-6</v>
      </c>
      <c r="AG204">
        <f t="shared" si="57"/>
        <v>1.999294410729776E-4</v>
      </c>
      <c r="AI204" t="s">
        <v>421</v>
      </c>
      <c r="AJ204" t="s">
        <v>224</v>
      </c>
      <c r="AK204">
        <v>550</v>
      </c>
      <c r="AL204" s="1">
        <v>6.8086068061417205E-5</v>
      </c>
      <c r="AM204" s="1">
        <v>1.2938428200297801E-6</v>
      </c>
      <c r="AN204" s="1">
        <v>3.26926839936036E-6</v>
      </c>
      <c r="AO204">
        <f t="shared" si="58"/>
        <v>6.8176790839507358E-5</v>
      </c>
      <c r="AQ204" t="s">
        <v>421</v>
      </c>
      <c r="AR204" t="s">
        <v>224</v>
      </c>
      <c r="AS204">
        <v>600</v>
      </c>
      <c r="AT204" s="1">
        <v>5.50393834859171E-5</v>
      </c>
      <c r="AU204" s="1">
        <v>9.4301074998345696E-7</v>
      </c>
      <c r="AV204" s="1">
        <v>3.7457694493860901E-6</v>
      </c>
      <c r="AW204">
        <f t="shared" si="67"/>
        <v>5.5174756841805675E-5</v>
      </c>
      <c r="AY204" t="s">
        <v>421</v>
      </c>
      <c r="AZ204" t="s">
        <v>224</v>
      </c>
      <c r="BA204">
        <v>800</v>
      </c>
      <c r="BB204">
        <v>2.3482961467576704E-5</v>
      </c>
      <c r="BD204">
        <f t="shared" si="68"/>
        <v>1.3175265023347024E-4</v>
      </c>
      <c r="BF204">
        <f t="shared" si="69"/>
        <v>1.4475468423117191E-4</v>
      </c>
      <c r="BH204">
        <f t="shared" si="60"/>
        <v>1.7644647960540088E-4</v>
      </c>
      <c r="BJ204">
        <f t="shared" si="61"/>
        <v>4.4131447995958126E-2</v>
      </c>
      <c r="BL204" s="1">
        <f t="shared" si="62"/>
        <v>5.3817134544950886E-2</v>
      </c>
      <c r="BN204">
        <f t="shared" si="63"/>
        <v>5.7062630804272374E-2</v>
      </c>
      <c r="BP204">
        <v>5.3491413713062794</v>
      </c>
      <c r="BQ204" s="4">
        <v>79.679999999999993</v>
      </c>
      <c r="BR204">
        <v>11.63</v>
      </c>
      <c r="BT204" s="1">
        <v>3.4184E-7</v>
      </c>
      <c r="BV204" s="11">
        <f t="shared" si="64"/>
        <v>4.404345256667475</v>
      </c>
    </row>
    <row r="205" spans="1:74" x14ac:dyDescent="0.25">
      <c r="A205" t="s">
        <v>205</v>
      </c>
      <c r="B205" t="s">
        <v>5</v>
      </c>
      <c r="C205" s="1">
        <v>2.5799999999999998E-3</v>
      </c>
      <c r="D205">
        <v>1.5519449120377952E-8</v>
      </c>
      <c r="F205" t="s">
        <v>205</v>
      </c>
      <c r="G205" t="s">
        <v>6</v>
      </c>
      <c r="H205" s="1">
        <v>1.7099999999999999E-3</v>
      </c>
      <c r="I205">
        <v>1.0259405440862545E-8</v>
      </c>
      <c r="K205" t="s">
        <v>205</v>
      </c>
      <c r="L205" t="s">
        <v>7</v>
      </c>
      <c r="M205" s="1">
        <v>1.47E-3</v>
      </c>
      <c r="N205">
        <v>8.8222594044836394E-9</v>
      </c>
      <c r="P205" t="s">
        <v>205</v>
      </c>
      <c r="Q205" t="s">
        <v>446</v>
      </c>
      <c r="R205">
        <v>6.9594396326141086E-9</v>
      </c>
      <c r="T205">
        <f t="shared" si="65"/>
        <v>5.2600436795154076E-9</v>
      </c>
      <c r="V205" s="1">
        <f t="shared" si="66"/>
        <v>6.6971897158943131E-9</v>
      </c>
      <c r="X205">
        <f t="shared" si="59"/>
        <v>8.5600094877638447E-9</v>
      </c>
      <c r="AA205" t="s">
        <v>422</v>
      </c>
      <c r="AB205" t="s">
        <v>224</v>
      </c>
      <c r="AC205">
        <v>350</v>
      </c>
      <c r="AD205" s="1">
        <v>1.8184873328762899E-4</v>
      </c>
      <c r="AE205" s="1">
        <v>2.04346543998511E-6</v>
      </c>
      <c r="AF205" s="1">
        <v>2.31984344949913E-6</v>
      </c>
      <c r="AG205">
        <f t="shared" si="57"/>
        <v>1.8187500989127073E-4</v>
      </c>
      <c r="AI205" t="s">
        <v>422</v>
      </c>
      <c r="AJ205" t="s">
        <v>224</v>
      </c>
      <c r="AK205">
        <v>550</v>
      </c>
      <c r="AL205" s="1">
        <v>6.2480239734197105E-5</v>
      </c>
      <c r="AM205" s="1">
        <v>1.60396938993548E-6</v>
      </c>
      <c r="AN205" s="1">
        <v>6.1156929968661096E-7</v>
      </c>
      <c r="AO205">
        <f t="shared" si="58"/>
        <v>6.2503816619906605E-5</v>
      </c>
      <c r="AQ205" t="s">
        <v>422</v>
      </c>
      <c r="AR205" t="s">
        <v>224</v>
      </c>
      <c r="AS205">
        <v>600</v>
      </c>
      <c r="AT205" s="1">
        <v>5.1988964100450797E-5</v>
      </c>
      <c r="AU205" s="1">
        <v>1.6913011899272101E-6</v>
      </c>
      <c r="AV205" s="1">
        <v>-7.8080550003676101E-8</v>
      </c>
      <c r="AW205">
        <f t="shared" si="67"/>
        <v>5.2016526071291033E-5</v>
      </c>
      <c r="AY205" t="s">
        <v>422</v>
      </c>
      <c r="AZ205" t="s">
        <v>224</v>
      </c>
      <c r="BA205">
        <v>800</v>
      </c>
      <c r="BB205">
        <v>2.2444224360971744E-5</v>
      </c>
      <c r="BD205">
        <f t="shared" si="68"/>
        <v>1.1937119327136413E-4</v>
      </c>
      <c r="BF205">
        <f t="shared" si="69"/>
        <v>1.2985848381997969E-4</v>
      </c>
      <c r="BH205">
        <f t="shared" si="60"/>
        <v>1.5943078553029899E-4</v>
      </c>
      <c r="BJ205">
        <f t="shared" si="61"/>
        <v>4.406459829515029E-2</v>
      </c>
      <c r="BL205" s="1">
        <f t="shared" si="62"/>
        <v>5.1572985598526605E-2</v>
      </c>
      <c r="BN205">
        <f t="shared" si="63"/>
        <v>5.3691070136119103E-2</v>
      </c>
      <c r="BP205">
        <v>5.2082175116300196</v>
      </c>
      <c r="BQ205" s="4">
        <v>79.699999999999989</v>
      </c>
      <c r="BR205">
        <v>10.52</v>
      </c>
      <c r="BT205" s="1">
        <v>3.3854000000000001E-7</v>
      </c>
      <c r="BV205" s="11">
        <f t="shared" si="64"/>
        <v>4.3576322033425221</v>
      </c>
    </row>
    <row r="206" spans="1:74" x14ac:dyDescent="0.25">
      <c r="A206" t="s">
        <v>206</v>
      </c>
      <c r="B206" t="s">
        <v>5</v>
      </c>
      <c r="C206" s="1">
        <v>3.5400000000000002E-3</v>
      </c>
      <c r="D206">
        <v>2.1258939296211368E-8</v>
      </c>
      <c r="F206" t="s">
        <v>206</v>
      </c>
      <c r="G206" t="s">
        <v>6</v>
      </c>
      <c r="H206" s="1">
        <v>2.6099999999999999E-3</v>
      </c>
      <c r="I206">
        <v>1.5647440333805397E-8</v>
      </c>
      <c r="K206" t="s">
        <v>206</v>
      </c>
      <c r="L206" t="s">
        <v>7</v>
      </c>
      <c r="M206" s="1">
        <v>2.2000000000000001E-3</v>
      </c>
      <c r="N206">
        <v>1.3198746152570706E-8</v>
      </c>
      <c r="P206" t="s">
        <v>206</v>
      </c>
      <c r="Q206" t="s">
        <v>446</v>
      </c>
      <c r="R206">
        <v>9.7204166577364366E-9</v>
      </c>
      <c r="T206">
        <f t="shared" si="65"/>
        <v>5.6114989624059713E-9</v>
      </c>
      <c r="V206" s="1">
        <f t="shared" si="66"/>
        <v>8.0601931436406622E-9</v>
      </c>
      <c r="X206">
        <f t="shared" si="59"/>
        <v>1.1538522638474931E-8</v>
      </c>
      <c r="AA206" t="s">
        <v>423</v>
      </c>
      <c r="AB206" t="s">
        <v>224</v>
      </c>
      <c r="AC206">
        <v>350</v>
      </c>
      <c r="AD206" s="1">
        <v>1.5579525508181501E-4</v>
      </c>
      <c r="AE206" s="1">
        <v>4.2862398097998401E-6</v>
      </c>
      <c r="AF206" s="1">
        <v>5.2016694997858697E-6</v>
      </c>
      <c r="AG206">
        <f t="shared" si="57"/>
        <v>1.559409847451911E-4</v>
      </c>
      <c r="AI206" t="s">
        <v>423</v>
      </c>
      <c r="AJ206" t="s">
        <v>224</v>
      </c>
      <c r="AK206">
        <v>550</v>
      </c>
      <c r="AL206" s="1">
        <v>4.9757459038541199E-5</v>
      </c>
      <c r="AM206" s="1">
        <v>4.7560059500496298E-6</v>
      </c>
      <c r="AN206" s="1">
        <v>3.4926552502352699E-6</v>
      </c>
      <c r="AO206">
        <f t="shared" si="58"/>
        <v>5.0106117024431348E-5</v>
      </c>
      <c r="AQ206" t="s">
        <v>423</v>
      </c>
      <c r="AR206" t="s">
        <v>224</v>
      </c>
      <c r="AS206">
        <v>600</v>
      </c>
      <c r="AT206" s="1">
        <v>4.1200717588907002E-5</v>
      </c>
      <c r="AU206" s="1">
        <v>4.4541191600314303E-6</v>
      </c>
      <c r="AV206" s="1">
        <v>3.2230121502123E-6</v>
      </c>
      <c r="AW206">
        <f t="shared" si="67"/>
        <v>4.1565924922381387E-5</v>
      </c>
      <c r="AY206" t="s">
        <v>423</v>
      </c>
      <c r="AZ206" t="s">
        <v>224</v>
      </c>
      <c r="BA206">
        <v>800</v>
      </c>
      <c r="BB206">
        <v>1.7759323771454868E-5</v>
      </c>
      <c r="BD206">
        <f t="shared" si="68"/>
        <v>1.0583486772075975E-4</v>
      </c>
      <c r="BF206">
        <f t="shared" si="69"/>
        <v>1.1437505982280971E-4</v>
      </c>
      <c r="BH206">
        <f t="shared" si="60"/>
        <v>1.3818166097373622E-4</v>
      </c>
      <c r="BJ206">
        <f t="shared" si="61"/>
        <v>5.3021268729806927E-2</v>
      </c>
      <c r="BL206" s="1">
        <f t="shared" si="62"/>
        <v>7.0471597183228096E-2</v>
      </c>
      <c r="BN206">
        <f t="shared" si="63"/>
        <v>8.3502561462682257E-2</v>
      </c>
      <c r="BP206">
        <v>7.8691073867241608</v>
      </c>
      <c r="BQ206" s="4">
        <v>79.719999999999985</v>
      </c>
      <c r="BR206">
        <v>9.26</v>
      </c>
      <c r="BT206" s="1">
        <v>3.3374999999999998E-7</v>
      </c>
      <c r="BV206" s="11">
        <f t="shared" si="64"/>
        <v>6.8787469107065533</v>
      </c>
    </row>
    <row r="207" spans="1:74" x14ac:dyDescent="0.25">
      <c r="A207" t="s">
        <v>207</v>
      </c>
      <c r="B207" t="s">
        <v>5</v>
      </c>
      <c r="C207" s="1">
        <v>2.66E-3</v>
      </c>
      <c r="D207">
        <v>1.5948627652559953E-8</v>
      </c>
      <c r="F207" t="s">
        <v>207</v>
      </c>
      <c r="G207" t="s">
        <v>6</v>
      </c>
      <c r="H207" s="1">
        <v>1.67E-3</v>
      </c>
      <c r="I207">
        <v>1.0020903152909921E-8</v>
      </c>
      <c r="K207" t="s">
        <v>207</v>
      </c>
      <c r="L207" t="s">
        <v>7</v>
      </c>
      <c r="M207" s="1">
        <v>1.6100000000000001E-3</v>
      </c>
      <c r="N207">
        <v>9.6653091000753811E-9</v>
      </c>
      <c r="P207" t="s">
        <v>207</v>
      </c>
      <c r="Q207" t="s">
        <v>446</v>
      </c>
      <c r="R207">
        <v>6.2448138483064487E-9</v>
      </c>
      <c r="T207">
        <f t="shared" si="65"/>
        <v>5.9277244996500315E-9</v>
      </c>
      <c r="V207" s="1">
        <f t="shared" si="66"/>
        <v>6.2833185524845715E-9</v>
      </c>
      <c r="X207">
        <f t="shared" si="59"/>
        <v>9.7038138042535039E-9</v>
      </c>
      <c r="AA207" t="s">
        <v>424</v>
      </c>
      <c r="AB207" t="s">
        <v>224</v>
      </c>
      <c r="AC207">
        <v>350</v>
      </c>
      <c r="AD207" s="1">
        <v>1.6715740938787901E-4</v>
      </c>
      <c r="AE207" s="1">
        <v>1.5043272600479699E-6</v>
      </c>
      <c r="AF207" s="1">
        <v>2.5089390002545701E-6</v>
      </c>
      <c r="AG207">
        <f t="shared" si="57"/>
        <v>1.6718300538236326E-4</v>
      </c>
      <c r="AI207" t="s">
        <v>424</v>
      </c>
      <c r="AJ207" t="s">
        <v>224</v>
      </c>
      <c r="AK207">
        <v>550</v>
      </c>
      <c r="AL207" s="1">
        <v>5.4651662889049298E-5</v>
      </c>
      <c r="AM207" s="1">
        <v>1.20123164002647E-6</v>
      </c>
      <c r="AN207" s="1">
        <v>2.04896685020035E-6</v>
      </c>
      <c r="AO207">
        <f t="shared" si="58"/>
        <v>5.4703249255821259E-5</v>
      </c>
      <c r="AQ207" t="s">
        <v>424</v>
      </c>
      <c r="AR207" t="s">
        <v>224</v>
      </c>
      <c r="AS207">
        <v>600</v>
      </c>
      <c r="AT207" s="1">
        <v>4.7084411589162002E-5</v>
      </c>
      <c r="AU207" s="1">
        <v>5.9814882004631904E-7</v>
      </c>
      <c r="AV207" s="1">
        <v>9.5324880018380597E-7</v>
      </c>
      <c r="AW207">
        <f t="shared" si="67"/>
        <v>4.7097858549870262E-5</v>
      </c>
      <c r="AY207" t="s">
        <v>424</v>
      </c>
      <c r="AZ207" t="s">
        <v>224</v>
      </c>
      <c r="BA207">
        <v>800</v>
      </c>
      <c r="BB207">
        <v>2.021750419713535E-5</v>
      </c>
      <c r="BD207">
        <f t="shared" si="68"/>
        <v>1.12479756126542E-4</v>
      </c>
      <c r="BF207">
        <f t="shared" si="69"/>
        <v>1.20085146832493E-4</v>
      </c>
      <c r="BH207">
        <f t="shared" si="60"/>
        <v>1.4696550118522791E-4</v>
      </c>
      <c r="BJ207">
        <f t="shared" si="61"/>
        <v>5.2700367637543787E-2</v>
      </c>
      <c r="BL207" s="1">
        <f t="shared" si="62"/>
        <v>5.2323861178678363E-2</v>
      </c>
      <c r="BN207">
        <f t="shared" si="63"/>
        <v>6.6027834600606752E-2</v>
      </c>
      <c r="BP207">
        <v>5.6316594530975221</v>
      </c>
      <c r="BQ207" s="4">
        <v>79.739999999999981</v>
      </c>
      <c r="BR207">
        <v>9.7899999999999991</v>
      </c>
      <c r="BT207" s="1">
        <v>3.3360999999999998E-7</v>
      </c>
      <c r="BV207" s="11">
        <f t="shared" si="64"/>
        <v>4.8831668854462498</v>
      </c>
    </row>
    <row r="208" spans="1:74" x14ac:dyDescent="0.25">
      <c r="A208" t="s">
        <v>208</v>
      </c>
      <c r="B208" t="s">
        <v>5</v>
      </c>
      <c r="C208" s="1">
        <v>1.8699999999999999E-3</v>
      </c>
      <c r="D208">
        <v>1.1216728578333346E-8</v>
      </c>
      <c r="F208" t="s">
        <v>208</v>
      </c>
      <c r="G208" t="s">
        <v>6</v>
      </c>
      <c r="H208" s="1">
        <v>1.0499999999999999E-3</v>
      </c>
      <c r="I208">
        <v>6.3020393524636136E-9</v>
      </c>
      <c r="K208" t="s">
        <v>208</v>
      </c>
      <c r="L208" t="s">
        <v>7</v>
      </c>
      <c r="M208" s="1">
        <v>1.14E-3</v>
      </c>
      <c r="N208">
        <v>6.8403289394589787E-9</v>
      </c>
      <c r="P208" t="s">
        <v>208</v>
      </c>
      <c r="Q208" t="s">
        <v>446</v>
      </c>
      <c r="R208">
        <v>5.1040901245961555E-9</v>
      </c>
      <c r="T208">
        <f t="shared" si="65"/>
        <v>4.9146892258697319E-9</v>
      </c>
      <c r="V208" s="1">
        <f t="shared" si="66"/>
        <v>4.3763996388743668E-9</v>
      </c>
      <c r="X208">
        <f t="shared" si="59"/>
        <v>6.11263845373719E-9</v>
      </c>
      <c r="AA208" t="s">
        <v>425</v>
      </c>
      <c r="AB208" t="s">
        <v>224</v>
      </c>
      <c r="AC208">
        <v>350</v>
      </c>
      <c r="AD208" s="1">
        <v>2.07226453479879E-4</v>
      </c>
      <c r="AE208" s="1">
        <v>3.43514947984616E-6</v>
      </c>
      <c r="AF208" s="1">
        <v>5.2855474995680596E-7</v>
      </c>
      <c r="AG208">
        <f t="shared" si="57"/>
        <v>2.072555973765752E-4</v>
      </c>
      <c r="AI208" t="s">
        <v>425</v>
      </c>
      <c r="AJ208" t="s">
        <v>224</v>
      </c>
      <c r="AK208">
        <v>550</v>
      </c>
      <c r="AL208" s="1">
        <v>6.6317996761827206E-5</v>
      </c>
      <c r="AM208" s="1">
        <v>2.53950513002812E-6</v>
      </c>
      <c r="AN208" s="1">
        <v>2.0451430033360801E-7</v>
      </c>
      <c r="AO208">
        <f t="shared" si="58"/>
        <v>6.6366916508951978E-5</v>
      </c>
      <c r="AQ208" t="s">
        <v>425</v>
      </c>
      <c r="AR208" t="s">
        <v>224</v>
      </c>
      <c r="AS208">
        <v>600</v>
      </c>
      <c r="AT208" s="1">
        <v>5.5889432187208703E-5</v>
      </c>
      <c r="AU208" s="1">
        <v>3.3626690200132398E-6</v>
      </c>
      <c r="AV208" s="1">
        <v>-1.2237553496617999E-6</v>
      </c>
      <c r="AW208">
        <f t="shared" si="67"/>
        <v>5.6003872636654186E-5</v>
      </c>
      <c r="AY208" t="s">
        <v>425</v>
      </c>
      <c r="AZ208" t="s">
        <v>224</v>
      </c>
      <c r="BA208">
        <v>800</v>
      </c>
      <c r="BB208">
        <v>2.2787570728579289E-5</v>
      </c>
      <c r="BD208">
        <f t="shared" si="68"/>
        <v>1.4088868086762322E-4</v>
      </c>
      <c r="BF208">
        <f t="shared" si="69"/>
        <v>1.5125172473992102E-4</v>
      </c>
      <c r="BH208">
        <f t="shared" si="60"/>
        <v>1.844680266479959E-4</v>
      </c>
      <c r="BJ208">
        <f t="shared" si="61"/>
        <v>3.4883492382808919E-2</v>
      </c>
      <c r="BL208" s="1">
        <f t="shared" si="62"/>
        <v>2.8934543697928954E-2</v>
      </c>
      <c r="BN208">
        <f t="shared" si="63"/>
        <v>3.3136574206441748E-2</v>
      </c>
      <c r="BP208">
        <v>3.0024917162211562</v>
      </c>
      <c r="BQ208" s="4">
        <v>79.759999999999977</v>
      </c>
      <c r="BR208">
        <v>12.01</v>
      </c>
      <c r="BT208" s="1">
        <v>3.3607000000000002E-7</v>
      </c>
      <c r="BV208" s="11">
        <f t="shared" si="64"/>
        <v>2.7790314238668423</v>
      </c>
    </row>
    <row r="209" spans="1:74" x14ac:dyDescent="0.25">
      <c r="A209" t="s">
        <v>209</v>
      </c>
      <c r="B209" t="s">
        <v>5</v>
      </c>
      <c r="C209" s="1">
        <v>1.5E-3</v>
      </c>
      <c r="D209">
        <v>9.0046843920261862E-9</v>
      </c>
      <c r="F209" t="s">
        <v>209</v>
      </c>
      <c r="G209" t="s">
        <v>6</v>
      </c>
      <c r="H209" s="1">
        <v>9.6500000000000004E-4</v>
      </c>
      <c r="I209">
        <v>5.789924783621977E-9</v>
      </c>
      <c r="K209" t="s">
        <v>209</v>
      </c>
      <c r="L209" t="s">
        <v>7</v>
      </c>
      <c r="M209" s="1">
        <v>9.2299999999999999E-4</v>
      </c>
      <c r="N209">
        <v>5.5393321799653795E-9</v>
      </c>
      <c r="P209" t="s">
        <v>209</v>
      </c>
      <c r="Q209" t="s">
        <v>446</v>
      </c>
      <c r="R209">
        <v>4.3677711707460137E-9</v>
      </c>
      <c r="T209">
        <f t="shared" si="65"/>
        <v>3.2147596084042093E-9</v>
      </c>
      <c r="V209" s="1">
        <f t="shared" si="66"/>
        <v>3.4653522120608067E-9</v>
      </c>
      <c r="X209">
        <f t="shared" si="59"/>
        <v>4.6369132212801726E-9</v>
      </c>
      <c r="AA209" t="s">
        <v>426</v>
      </c>
      <c r="AB209" t="s">
        <v>224</v>
      </c>
      <c r="AC209">
        <v>350</v>
      </c>
      <c r="AD209" s="1">
        <v>1.7352687078733901E-4</v>
      </c>
      <c r="AE209" s="1">
        <v>1.8751420300363901E-6</v>
      </c>
      <c r="AF209" s="1">
        <v>3.4013762503051201E-6</v>
      </c>
      <c r="AG209">
        <f t="shared" ref="AG209:AG218" si="70">SQRT(AD209^2+AE209^2+AF209^2)</f>
        <v>1.7357033272790253E-4</v>
      </c>
      <c r="AI209" t="s">
        <v>426</v>
      </c>
      <c r="AJ209" t="s">
        <v>224</v>
      </c>
      <c r="AK209">
        <v>550</v>
      </c>
      <c r="AL209" s="1">
        <v>5.5855157834181197E-5</v>
      </c>
      <c r="AM209" s="1">
        <v>1.8630537299867701E-6</v>
      </c>
      <c r="AN209" s="1">
        <v>1.72418629975002E-6</v>
      </c>
      <c r="AO209">
        <f t="shared" si="58"/>
        <v>5.591281109261415E-5</v>
      </c>
      <c r="AQ209" t="s">
        <v>426</v>
      </c>
      <c r="AR209" t="s">
        <v>224</v>
      </c>
      <c r="AS209">
        <v>600</v>
      </c>
      <c r="AT209" s="1">
        <v>4.3725036382961401E-5</v>
      </c>
      <c r="AU209" s="1">
        <v>2.42313673996857E-6</v>
      </c>
      <c r="AV209" s="1">
        <v>2.3847255497821901E-6</v>
      </c>
      <c r="AW209">
        <f t="shared" si="67"/>
        <v>4.3857009865010952E-5</v>
      </c>
      <c r="AY209" t="s">
        <v>426</v>
      </c>
      <c r="AZ209" t="s">
        <v>224</v>
      </c>
      <c r="BA209">
        <v>800</v>
      </c>
      <c r="BB209">
        <v>1.9840528886401728E-5</v>
      </c>
      <c r="BD209">
        <f t="shared" si="68"/>
        <v>1.1765752163528838E-4</v>
      </c>
      <c r="BF209">
        <f t="shared" si="69"/>
        <v>1.2971332286289158E-4</v>
      </c>
      <c r="BH209">
        <f t="shared" si="60"/>
        <v>1.5372980384150081E-4</v>
      </c>
      <c r="BJ209">
        <f t="shared" si="61"/>
        <v>2.7323026728110378E-2</v>
      </c>
      <c r="BL209" s="1">
        <f t="shared" si="62"/>
        <v>2.6715468662565387E-2</v>
      </c>
      <c r="BN209">
        <f t="shared" si="63"/>
        <v>3.0162747270925702E-2</v>
      </c>
      <c r="BP209">
        <v>2.747091600222483</v>
      </c>
      <c r="BQ209" s="3">
        <v>79.8</v>
      </c>
      <c r="BR209">
        <v>9.9</v>
      </c>
      <c r="BT209" s="1">
        <v>3.5303999999999999E-7</v>
      </c>
      <c r="BV209" s="11">
        <f t="shared" si="64"/>
        <v>2.5763768411586363</v>
      </c>
    </row>
    <row r="210" spans="1:74" x14ac:dyDescent="0.25">
      <c r="A210" t="s">
        <v>210</v>
      </c>
      <c r="B210" t="s">
        <v>5</v>
      </c>
      <c r="C210" s="1">
        <v>1.89E-3</v>
      </c>
      <c r="D210">
        <v>1.1331499856594448E-8</v>
      </c>
      <c r="F210" t="s">
        <v>210</v>
      </c>
      <c r="G210" t="s">
        <v>6</v>
      </c>
      <c r="H210" s="1">
        <v>1.34E-3</v>
      </c>
      <c r="I210">
        <v>8.0424374414725783E-9</v>
      </c>
      <c r="K210" t="s">
        <v>210</v>
      </c>
      <c r="L210" t="s">
        <v>7</v>
      </c>
      <c r="M210" s="1">
        <v>1.1800000000000001E-3</v>
      </c>
      <c r="N210">
        <v>7.080776793544617E-9</v>
      </c>
      <c r="P210" t="s">
        <v>210</v>
      </c>
      <c r="Q210" t="s">
        <v>446</v>
      </c>
      <c r="R210">
        <v>6.4786263976247315E-9</v>
      </c>
      <c r="T210">
        <f t="shared" si="65"/>
        <v>3.2890624151218697E-9</v>
      </c>
      <c r="V210" s="1">
        <f t="shared" si="66"/>
        <v>4.250723063049831E-9</v>
      </c>
      <c r="X210">
        <f t="shared" si="59"/>
        <v>4.8528734589697165E-9</v>
      </c>
      <c r="AA210" t="s">
        <v>427</v>
      </c>
      <c r="AB210" t="s">
        <v>224</v>
      </c>
      <c r="AC210">
        <v>350</v>
      </c>
      <c r="AD210" s="1">
        <v>1.4449828838585099E-4</v>
      </c>
      <c r="AE210" s="1">
        <v>1.4341657800281199E-6</v>
      </c>
      <c r="AF210" s="1">
        <v>3.41001075039059E-6</v>
      </c>
      <c r="AG210">
        <f t="shared" si="70"/>
        <v>1.4454563414798436E-4</v>
      </c>
      <c r="AI210" t="s">
        <v>427</v>
      </c>
      <c r="AJ210" t="s">
        <v>224</v>
      </c>
      <c r="AK210">
        <v>550</v>
      </c>
      <c r="AL210" s="1">
        <v>4.6932587161095702E-5</v>
      </c>
      <c r="AM210" s="1">
        <v>1.03248884004301E-6</v>
      </c>
      <c r="AN210" s="1">
        <v>1.4241991003859899E-6</v>
      </c>
      <c r="AO210">
        <f t="shared" si="58"/>
        <v>4.6965541771773469E-5</v>
      </c>
      <c r="AQ210" t="s">
        <v>427</v>
      </c>
      <c r="AR210" t="s">
        <v>224</v>
      </c>
      <c r="AS210">
        <v>600</v>
      </c>
      <c r="AT210" s="1">
        <v>3.88376431612005E-5</v>
      </c>
      <c r="AU210" s="1">
        <v>1.1548027000579E-6</v>
      </c>
      <c r="AV210" s="1">
        <v>1.7864780503777199E-6</v>
      </c>
      <c r="AW210">
        <f t="shared" si="67"/>
        <v>3.8895855812892029E-5</v>
      </c>
      <c r="AY210" t="s">
        <v>427</v>
      </c>
      <c r="AZ210" t="s">
        <v>224</v>
      </c>
      <c r="BA210">
        <v>800</v>
      </c>
      <c r="BB210">
        <v>1.5986914271066423E-5</v>
      </c>
      <c r="BD210">
        <f t="shared" si="68"/>
        <v>9.7580092376210899E-5</v>
      </c>
      <c r="BF210">
        <f t="shared" si="69"/>
        <v>1.0564977833509233E-4</v>
      </c>
      <c r="BH210">
        <f t="shared" si="60"/>
        <v>1.2855871987691795E-4</v>
      </c>
      <c r="BJ210">
        <f t="shared" si="61"/>
        <v>3.3706285114398105E-2</v>
      </c>
      <c r="BL210" s="1">
        <f t="shared" si="62"/>
        <v>4.0234093530870409E-2</v>
      </c>
      <c r="BN210">
        <f t="shared" si="63"/>
        <v>3.7748302593677466E-2</v>
      </c>
      <c r="BP210">
        <v>4.5216219817742207</v>
      </c>
      <c r="BQ210" s="4">
        <v>79.819999999999993</v>
      </c>
      <c r="BR210">
        <v>8.51</v>
      </c>
      <c r="BT210" s="1">
        <v>3.3644000000000001E-7</v>
      </c>
      <c r="BV210" s="11">
        <f t="shared" si="64"/>
        <v>3.957766910837917</v>
      </c>
    </row>
    <row r="211" spans="1:74" x14ac:dyDescent="0.25">
      <c r="A211" t="s">
        <v>211</v>
      </c>
      <c r="B211" t="s">
        <v>5</v>
      </c>
      <c r="C211" s="1">
        <v>1.7600000000000001E-3</v>
      </c>
      <c r="D211">
        <v>1.0563624188695848E-8</v>
      </c>
      <c r="F211" t="s">
        <v>211</v>
      </c>
      <c r="G211" t="s">
        <v>6</v>
      </c>
      <c r="H211" s="1">
        <v>1.1800000000000001E-3</v>
      </c>
      <c r="I211">
        <v>7.079039482867715E-9</v>
      </c>
      <c r="K211" t="s">
        <v>211</v>
      </c>
      <c r="L211" t="s">
        <v>7</v>
      </c>
      <c r="M211" s="1">
        <v>1.14E-3</v>
      </c>
      <c r="N211">
        <v>6.84333720417166E-9</v>
      </c>
      <c r="P211" t="s">
        <v>211</v>
      </c>
      <c r="Q211" t="s">
        <v>446</v>
      </c>
      <c r="R211">
        <v>5.1892388651901539E-9</v>
      </c>
      <c r="T211">
        <f t="shared" si="65"/>
        <v>3.4845847058281328E-9</v>
      </c>
      <c r="V211" s="1">
        <f t="shared" si="66"/>
        <v>3.7202869845241878E-9</v>
      </c>
      <c r="X211">
        <f t="shared" si="59"/>
        <v>5.3743853235056939E-9</v>
      </c>
      <c r="AA211" t="s">
        <v>428</v>
      </c>
      <c r="AB211" t="s">
        <v>224</v>
      </c>
      <c r="AC211">
        <v>350</v>
      </c>
      <c r="AD211" s="1">
        <v>1.5775145948423701E-4</v>
      </c>
      <c r="AE211" s="1">
        <v>-2.2395425993217599E-7</v>
      </c>
      <c r="AF211" s="1">
        <v>3.6028068004585999E-6</v>
      </c>
      <c r="AG211">
        <f t="shared" si="70"/>
        <v>1.5779275440196499E-4</v>
      </c>
      <c r="AI211" t="s">
        <v>428</v>
      </c>
      <c r="AJ211" t="s">
        <v>224</v>
      </c>
      <c r="AK211">
        <v>550</v>
      </c>
      <c r="AL211" s="1">
        <v>5.3012817059838299E-5</v>
      </c>
      <c r="AM211" s="1">
        <v>9.1540502004631899E-7</v>
      </c>
      <c r="AN211" s="1">
        <v>3.1142174504503202E-6</v>
      </c>
      <c r="AO211">
        <f t="shared" si="58"/>
        <v>5.3112099274075941E-5</v>
      </c>
      <c r="AQ211" t="s">
        <v>428</v>
      </c>
      <c r="AR211" t="s">
        <v>224</v>
      </c>
      <c r="AS211">
        <v>600</v>
      </c>
      <c r="AT211" s="1">
        <v>4.452152861004E-5</v>
      </c>
      <c r="AU211" s="1">
        <v>7.7604419001819698E-7</v>
      </c>
      <c r="AV211" s="1">
        <v>2.4895730504365402E-6</v>
      </c>
      <c r="AW211">
        <f t="shared" si="67"/>
        <v>4.459783322464143E-5</v>
      </c>
      <c r="AY211" t="s">
        <v>428</v>
      </c>
      <c r="AZ211" t="s">
        <v>224</v>
      </c>
      <c r="BA211">
        <v>800</v>
      </c>
      <c r="BB211">
        <v>1.8559233668459236E-5</v>
      </c>
      <c r="BD211">
        <f t="shared" si="68"/>
        <v>1.0468065512788905E-4</v>
      </c>
      <c r="BF211">
        <f t="shared" si="69"/>
        <v>1.1319492117732356E-4</v>
      </c>
      <c r="BH211">
        <f t="shared" si="60"/>
        <v>1.3923352073350577E-4</v>
      </c>
      <c r="BJ211">
        <f t="shared" si="61"/>
        <v>3.3287761731821346E-2</v>
      </c>
      <c r="BL211" s="1">
        <f t="shared" si="62"/>
        <v>3.2866200584178475E-2</v>
      </c>
      <c r="BN211">
        <f t="shared" si="63"/>
        <v>3.8599794756266466E-2</v>
      </c>
      <c r="BP211">
        <v>3.7366487463371945</v>
      </c>
      <c r="BQ211" s="4">
        <v>79.839999999999989</v>
      </c>
      <c r="BR211">
        <v>9.2799999999999994</v>
      </c>
      <c r="BT211" s="1">
        <v>3.3219000000000001E-7</v>
      </c>
      <c r="BV211" s="11">
        <f t="shared" si="64"/>
        <v>3.4267183601485365</v>
      </c>
    </row>
    <row r="212" spans="1:74" x14ac:dyDescent="0.25">
      <c r="A212" t="s">
        <v>212</v>
      </c>
      <c r="B212" t="s">
        <v>5</v>
      </c>
      <c r="C212" s="1">
        <v>2.5100000000000001E-3</v>
      </c>
      <c r="D212">
        <v>1.5070952192877529E-8</v>
      </c>
      <c r="F212" t="s">
        <v>212</v>
      </c>
      <c r="G212" t="s">
        <v>6</v>
      </c>
      <c r="H212" s="1">
        <v>1.41E-3</v>
      </c>
      <c r="I212">
        <v>8.4641479193123741E-9</v>
      </c>
      <c r="K212" t="s">
        <v>212</v>
      </c>
      <c r="L212" t="s">
        <v>7</v>
      </c>
      <c r="M212" s="1">
        <v>1.23E-3</v>
      </c>
      <c r="N212">
        <v>7.3852420407187736E-9</v>
      </c>
      <c r="P212" t="s">
        <v>212</v>
      </c>
      <c r="Q212" t="s">
        <v>446</v>
      </c>
      <c r="R212">
        <v>5.7961339701563144E-9</v>
      </c>
      <c r="T212">
        <f t="shared" si="65"/>
        <v>6.6068042735651552E-9</v>
      </c>
      <c r="V212" s="1">
        <f t="shared" si="66"/>
        <v>7.6857101521587557E-9</v>
      </c>
      <c r="X212">
        <f t="shared" si="59"/>
        <v>9.2748182227212157E-9</v>
      </c>
      <c r="AA212" t="s">
        <v>429</v>
      </c>
      <c r="AB212" t="s">
        <v>224</v>
      </c>
      <c r="AC212">
        <v>350</v>
      </c>
      <c r="AD212" s="1">
        <v>1.8597421815190899E-4</v>
      </c>
      <c r="AE212" s="1">
        <v>5.0097369000992597E-7</v>
      </c>
      <c r="AF212" s="1">
        <v>3.6137849504705402E-6</v>
      </c>
      <c r="AG212">
        <f t="shared" si="70"/>
        <v>1.860100003589059E-4</v>
      </c>
      <c r="AI212" t="s">
        <v>429</v>
      </c>
      <c r="AJ212" t="s">
        <v>224</v>
      </c>
      <c r="AK212">
        <v>550</v>
      </c>
      <c r="AL212" s="1">
        <v>6.0972742127904897E-5</v>
      </c>
      <c r="AM212" s="1">
        <v>7.9267177005459003E-7</v>
      </c>
      <c r="AN212" s="1">
        <v>2.7889435045124302E-7</v>
      </c>
      <c r="AO212">
        <f t="shared" si="58"/>
        <v>6.0978532232169576E-5</v>
      </c>
      <c r="AQ212" t="s">
        <v>429</v>
      </c>
      <c r="AR212" t="s">
        <v>224</v>
      </c>
      <c r="AS212">
        <v>600</v>
      </c>
      <c r="AT212" s="1">
        <v>5.02890435281659E-5</v>
      </c>
      <c r="AU212" s="1">
        <v>9.3299473002812303E-7</v>
      </c>
      <c r="AV212" s="1">
        <v>2.7840095043837699E-7</v>
      </c>
      <c r="AW212">
        <f t="shared" si="67"/>
        <v>5.0298468020738259E-5</v>
      </c>
      <c r="AY212" t="s">
        <v>429</v>
      </c>
      <c r="AZ212" t="s">
        <v>224</v>
      </c>
      <c r="BA212">
        <v>800</v>
      </c>
      <c r="BB212">
        <v>2.0597084617680439E-5</v>
      </c>
      <c r="BD212">
        <f t="shared" si="68"/>
        <v>1.2503146812673633E-4</v>
      </c>
      <c r="BF212">
        <f t="shared" si="69"/>
        <v>1.3571153233816764E-4</v>
      </c>
      <c r="BH212">
        <f t="shared" si="60"/>
        <v>1.6541291574122545E-4</v>
      </c>
      <c r="BJ212">
        <f t="shared" si="61"/>
        <v>5.2841131697088164E-2</v>
      </c>
      <c r="BL212" s="1">
        <f t="shared" si="62"/>
        <v>5.6632697455713719E-2</v>
      </c>
      <c r="BN212">
        <f t="shared" si="63"/>
        <v>5.6070701499699609E-2</v>
      </c>
      <c r="BP212">
        <v>4.8401139720245663</v>
      </c>
      <c r="BQ212" s="4">
        <v>79.859999999999985</v>
      </c>
      <c r="BR212">
        <v>10.66</v>
      </c>
      <c r="BT212" s="1">
        <v>3.4304999999999999E-7</v>
      </c>
      <c r="BV212" s="11">
        <f t="shared" si="64"/>
        <v>4.1212225155144599</v>
      </c>
    </row>
    <row r="213" spans="1:74" x14ac:dyDescent="0.25">
      <c r="A213" t="s">
        <v>213</v>
      </c>
      <c r="B213" t="s">
        <v>5</v>
      </c>
      <c r="C213" s="1">
        <v>2.3999999999999998E-3</v>
      </c>
      <c r="D213">
        <v>1.440339196161793E-8</v>
      </c>
      <c r="F213" t="s">
        <v>213</v>
      </c>
      <c r="G213" t="s">
        <v>6</v>
      </c>
      <c r="H213" s="1">
        <v>1.56E-3</v>
      </c>
      <c r="I213">
        <v>9.3592788183705705E-9</v>
      </c>
      <c r="K213" t="s">
        <v>213</v>
      </c>
      <c r="L213" t="s">
        <v>7</v>
      </c>
      <c r="M213" s="1">
        <v>1.1800000000000001E-3</v>
      </c>
      <c r="N213">
        <v>7.0801457612114171E-9</v>
      </c>
      <c r="P213" t="s">
        <v>213</v>
      </c>
      <c r="Q213" t="s">
        <v>446</v>
      </c>
      <c r="R213">
        <v>5.4727506795029495E-9</v>
      </c>
      <c r="T213">
        <f t="shared" si="65"/>
        <v>5.0441131432473599E-9</v>
      </c>
      <c r="V213" s="1">
        <f t="shared" si="66"/>
        <v>7.3232462004065133E-9</v>
      </c>
      <c r="X213">
        <f t="shared" si="59"/>
        <v>8.9306412821149809E-9</v>
      </c>
      <c r="AA213" t="s">
        <v>430</v>
      </c>
      <c r="AB213" t="s">
        <v>224</v>
      </c>
      <c r="AC213">
        <v>350</v>
      </c>
      <c r="AD213" s="1">
        <v>1.6636591455197199E-4</v>
      </c>
      <c r="AE213" s="1">
        <v>2.4451423800115799E-6</v>
      </c>
      <c r="AF213" s="1">
        <v>2.3197201004880101E-6</v>
      </c>
      <c r="AG213">
        <f t="shared" si="70"/>
        <v>1.6640005212534395E-4</v>
      </c>
      <c r="AI213" t="s">
        <v>430</v>
      </c>
      <c r="AJ213" t="s">
        <v>224</v>
      </c>
      <c r="AK213">
        <v>550</v>
      </c>
      <c r="AL213" s="1">
        <v>5.5460405452564902E-5</v>
      </c>
      <c r="AM213" s="1">
        <v>2.2296746000248098E-6</v>
      </c>
      <c r="AN213" s="1">
        <v>9.2006765045308105E-7</v>
      </c>
      <c r="AO213">
        <f t="shared" si="58"/>
        <v>5.5512832266659716E-5</v>
      </c>
      <c r="AQ213" t="s">
        <v>430</v>
      </c>
      <c r="AR213" t="s">
        <v>224</v>
      </c>
      <c r="AS213">
        <v>600</v>
      </c>
      <c r="AT213" s="1">
        <v>4.53133330027389E-5</v>
      </c>
      <c r="AU213" s="1">
        <v>3.0581672100479701E-6</v>
      </c>
      <c r="AV213" s="1">
        <v>2.6655935044756702E-7</v>
      </c>
      <c r="AW213">
        <f t="shared" si="67"/>
        <v>4.5417194853810932E-5</v>
      </c>
      <c r="AY213" t="s">
        <v>430</v>
      </c>
      <c r="AZ213" t="s">
        <v>224</v>
      </c>
      <c r="BA213">
        <v>800</v>
      </c>
      <c r="BB213">
        <v>1.9618510843590008E-5</v>
      </c>
      <c r="BD213">
        <f t="shared" si="68"/>
        <v>1.1088721985868423E-4</v>
      </c>
      <c r="BF213">
        <f t="shared" si="69"/>
        <v>1.2098285727153302E-4</v>
      </c>
      <c r="BH213">
        <f t="shared" si="60"/>
        <v>1.4678154128175395E-4</v>
      </c>
      <c r="BJ213">
        <f t="shared" si="61"/>
        <v>4.5488678944928251E-2</v>
      </c>
      <c r="BL213" s="1">
        <f t="shared" si="62"/>
        <v>6.0531271665788769E-2</v>
      </c>
      <c r="BN213">
        <f t="shared" si="63"/>
        <v>6.0843081521893841E-2</v>
      </c>
      <c r="BP213">
        <v>4.8484817860774916</v>
      </c>
      <c r="BQ213" s="4">
        <v>79.879999999999981</v>
      </c>
      <c r="BR213">
        <v>9.7899999999999991</v>
      </c>
      <c r="BT213" s="1">
        <v>3.5060999999999999E-7</v>
      </c>
      <c r="BV213" s="11">
        <f t="shared" si="64"/>
        <v>4.1962155499708329</v>
      </c>
    </row>
    <row r="214" spans="1:74" x14ac:dyDescent="0.25">
      <c r="A214" t="s">
        <v>214</v>
      </c>
      <c r="B214" t="s">
        <v>5</v>
      </c>
      <c r="C214" s="1">
        <v>1.2899999999999999E-3</v>
      </c>
      <c r="D214">
        <v>7.7402726696157149E-9</v>
      </c>
      <c r="F214" t="s">
        <v>214</v>
      </c>
      <c r="G214" t="s">
        <v>6</v>
      </c>
      <c r="H214" s="1">
        <v>1.0200000000000001E-3</v>
      </c>
      <c r="I214">
        <v>6.1234712377866205E-9</v>
      </c>
      <c r="K214" t="s">
        <v>214</v>
      </c>
      <c r="L214" t="s">
        <v>7</v>
      </c>
      <c r="M214" s="1">
        <v>1.06E-3</v>
      </c>
      <c r="N214">
        <v>6.3593569643478891E-9</v>
      </c>
      <c r="P214" t="s">
        <v>214</v>
      </c>
      <c r="Q214" t="s">
        <v>446</v>
      </c>
      <c r="R214">
        <v>5.1130006845295845E-9</v>
      </c>
      <c r="T214">
        <f t="shared" si="65"/>
        <v>1.6168014318290944E-9</v>
      </c>
      <c r="V214" s="1">
        <f t="shared" si="66"/>
        <v>1.3809157052678258E-9</v>
      </c>
      <c r="X214">
        <f t="shared" si="59"/>
        <v>2.6272719850861304E-9</v>
      </c>
      <c r="AA214" t="s">
        <v>431</v>
      </c>
      <c r="AB214" t="s">
        <v>224</v>
      </c>
      <c r="AC214">
        <v>350</v>
      </c>
      <c r="AD214" s="1">
        <v>1.68094050652359E-4</v>
      </c>
      <c r="AE214" s="1">
        <v>1.1642266400264701E-6</v>
      </c>
      <c r="AF214" s="1">
        <v>4.1591153004448098E-6</v>
      </c>
      <c r="AG214">
        <f t="shared" si="70"/>
        <v>1.6814952729184097E-4</v>
      </c>
      <c r="AI214" t="s">
        <v>431</v>
      </c>
      <c r="AJ214" t="s">
        <v>224</v>
      </c>
      <c r="AK214">
        <v>550</v>
      </c>
      <c r="AL214" s="1">
        <v>5.4507798953057201E-5</v>
      </c>
      <c r="AM214" s="1">
        <v>2.0761038500082701E-6</v>
      </c>
      <c r="AN214" s="1">
        <v>2.4895730504365402E-6</v>
      </c>
      <c r="AO214">
        <f t="shared" si="58"/>
        <v>5.4604105412289128E-5</v>
      </c>
      <c r="AQ214" t="s">
        <v>431</v>
      </c>
      <c r="AR214" t="s">
        <v>224</v>
      </c>
      <c r="AS214">
        <v>600</v>
      </c>
      <c r="AT214" s="1">
        <v>4.42140321779247E-5</v>
      </c>
      <c r="AU214" s="1">
        <v>1.6643122100396999E-6</v>
      </c>
      <c r="AV214" s="1">
        <v>2.33304190043562E-6</v>
      </c>
      <c r="AW214">
        <f t="shared" si="67"/>
        <v>4.4306812806522607E-5</v>
      </c>
      <c r="AY214" t="s">
        <v>431</v>
      </c>
      <c r="AZ214" t="s">
        <v>224</v>
      </c>
      <c r="BA214">
        <v>800</v>
      </c>
      <c r="BB214">
        <v>1.8206112409463673E-5</v>
      </c>
      <c r="BD214">
        <f t="shared" si="68"/>
        <v>1.1354542187955185E-4</v>
      </c>
      <c r="BF214">
        <f t="shared" si="69"/>
        <v>1.2384271448531836E-4</v>
      </c>
      <c r="BH214">
        <f t="shared" si="60"/>
        <v>1.499434148823773E-4</v>
      </c>
      <c r="BJ214">
        <f t="shared" si="61"/>
        <v>1.4239248091782912E-2</v>
      </c>
      <c r="BL214" s="1">
        <f t="shared" si="62"/>
        <v>1.1150560701183067E-2</v>
      </c>
      <c r="BN214">
        <f t="shared" si="63"/>
        <v>1.752175637154247E-2</v>
      </c>
      <c r="BP214">
        <v>2.7209887638632915</v>
      </c>
      <c r="BQ214" s="4">
        <v>79.899999999999977</v>
      </c>
      <c r="BR214">
        <v>9.68</v>
      </c>
      <c r="BT214" s="1">
        <v>3.3946E-7</v>
      </c>
      <c r="BV214" s="11">
        <f t="shared" si="64"/>
        <v>2.3555498297538295</v>
      </c>
    </row>
    <row r="215" spans="1:74" x14ac:dyDescent="0.25">
      <c r="A215" t="s">
        <v>215</v>
      </c>
      <c r="B215" t="s">
        <v>5</v>
      </c>
      <c r="C215" s="1">
        <v>5.5599999999999998E-3</v>
      </c>
      <c r="D215">
        <v>3.3391765451979322E-8</v>
      </c>
      <c r="F215" t="s">
        <v>215</v>
      </c>
      <c r="G215" t="s">
        <v>6</v>
      </c>
      <c r="H215" s="1">
        <v>1.4300000000000001E-3</v>
      </c>
      <c r="I215">
        <v>8.5807517153219156E-9</v>
      </c>
      <c r="K215" t="s">
        <v>215</v>
      </c>
      <c r="L215" t="s">
        <v>7</v>
      </c>
      <c r="M215" s="1">
        <v>1.2700000000000001E-3</v>
      </c>
      <c r="N215">
        <v>7.624481949614676E-9</v>
      </c>
      <c r="P215" t="s">
        <v>215</v>
      </c>
      <c r="Q215" t="s">
        <v>446</v>
      </c>
      <c r="R215">
        <v>5.892741297562621E-9</v>
      </c>
      <c r="T215">
        <f t="shared" si="65"/>
        <v>2.4811013736657405E-8</v>
      </c>
      <c r="V215" s="1">
        <f t="shared" si="66"/>
        <v>2.5767283502364646E-8</v>
      </c>
      <c r="X215">
        <f t="shared" si="59"/>
        <v>2.7499024154416702E-8</v>
      </c>
      <c r="AA215" t="s">
        <v>432</v>
      </c>
      <c r="AB215" t="s">
        <v>224</v>
      </c>
      <c r="AC215">
        <v>350</v>
      </c>
      <c r="AD215" s="1">
        <v>1.85809037776756E-4</v>
      </c>
      <c r="AE215" s="1">
        <v>-4.5656768997684E-7</v>
      </c>
      <c r="AF215" s="1">
        <v>6.4088959504797303E-6</v>
      </c>
      <c r="AG215">
        <f t="shared" si="70"/>
        <v>1.8592009283798118E-4</v>
      </c>
      <c r="AI215" t="s">
        <v>432</v>
      </c>
      <c r="AJ215" t="s">
        <v>224</v>
      </c>
      <c r="AK215">
        <v>550</v>
      </c>
      <c r="AL215" s="1">
        <v>6.0820121652371103E-5</v>
      </c>
      <c r="AM215" s="1">
        <v>9.606991400264679E-7</v>
      </c>
      <c r="AN215" s="1">
        <v>2.6858229004815698E-6</v>
      </c>
      <c r="AO215">
        <f t="shared" si="58"/>
        <v>6.088697549804571E-5</v>
      </c>
      <c r="AQ215" t="s">
        <v>432</v>
      </c>
      <c r="AR215" t="s">
        <v>224</v>
      </c>
      <c r="AS215">
        <v>600</v>
      </c>
      <c r="AT215" s="1">
        <v>4.8026846327624197E-5</v>
      </c>
      <c r="AU215" s="1">
        <v>-3.5574139952026697E-8</v>
      </c>
      <c r="AV215" s="1">
        <v>1.22165840046779E-6</v>
      </c>
      <c r="AW215">
        <f t="shared" si="67"/>
        <v>4.8042394642066881E-5</v>
      </c>
      <c r="AY215" t="s">
        <v>432</v>
      </c>
      <c r="AZ215" t="s">
        <v>224</v>
      </c>
      <c r="BA215">
        <v>800</v>
      </c>
      <c r="BB215">
        <v>1.8767003339669014E-5</v>
      </c>
      <c r="BD215">
        <f t="shared" si="68"/>
        <v>1.2503311733993546E-4</v>
      </c>
      <c r="BF215">
        <f t="shared" si="69"/>
        <v>1.3787769819591429E-4</v>
      </c>
      <c r="BH215">
        <f t="shared" si="60"/>
        <v>1.6715308949831215E-4</v>
      </c>
      <c r="BJ215">
        <f t="shared" si="61"/>
        <v>0.19843553663628274</v>
      </c>
      <c r="BL215" s="1">
        <f t="shared" si="62"/>
        <v>0.18688507162159895</v>
      </c>
      <c r="BN215">
        <f t="shared" si="63"/>
        <v>0.16451400471837752</v>
      </c>
      <c r="BP215">
        <v>15.314385988261588</v>
      </c>
      <c r="BQ215" s="4">
        <v>79.919999999999973</v>
      </c>
      <c r="BR215">
        <v>12.02</v>
      </c>
      <c r="BT215" s="1">
        <v>3.0489999999999998E-7</v>
      </c>
      <c r="BV215" s="11">
        <f t="shared" si="64"/>
        <v>9.1112400541513914</v>
      </c>
    </row>
    <row r="216" spans="1:74" x14ac:dyDescent="0.25">
      <c r="A216" t="s">
        <v>216</v>
      </c>
      <c r="B216" t="s">
        <v>5</v>
      </c>
      <c r="C216" s="1">
        <v>4.7200000000000002E-3</v>
      </c>
      <c r="D216">
        <v>2.8307385961971126E-8</v>
      </c>
      <c r="F216" t="s">
        <v>216</v>
      </c>
      <c r="G216" t="s">
        <v>6</v>
      </c>
      <c r="H216" s="1">
        <v>1.8500000000000001E-3</v>
      </c>
      <c r="I216">
        <v>1.1106907760488516E-8</v>
      </c>
      <c r="K216" t="s">
        <v>216</v>
      </c>
      <c r="L216" t="s">
        <v>7</v>
      </c>
      <c r="M216" s="1">
        <v>1.0399999999999999E-3</v>
      </c>
      <c r="N216">
        <v>6.2362889605918673E-9</v>
      </c>
      <c r="P216" t="s">
        <v>216</v>
      </c>
      <c r="Q216" t="s">
        <v>446</v>
      </c>
      <c r="R216">
        <v>3.8190312907856623E-9</v>
      </c>
      <c r="T216">
        <f t="shared" si="65"/>
        <v>1.7200478201482611E-8</v>
      </c>
      <c r="V216" s="1">
        <f t="shared" si="66"/>
        <v>2.2071097001379258E-8</v>
      </c>
      <c r="X216">
        <f t="shared" si="59"/>
        <v>2.4488354671185464E-8</v>
      </c>
      <c r="AA216" t="s">
        <v>433</v>
      </c>
      <c r="AB216" t="s">
        <v>224</v>
      </c>
      <c r="AC216">
        <v>350</v>
      </c>
      <c r="AD216" s="1">
        <v>1.88770034202187E-4</v>
      </c>
      <c r="AE216" s="1">
        <v>1.4176615500661701E-6</v>
      </c>
      <c r="AF216" s="1">
        <v>2.3637560504870898E-6</v>
      </c>
      <c r="AG216">
        <f t="shared" si="70"/>
        <v>1.8879015578051629E-4</v>
      </c>
      <c r="AI216" t="s">
        <v>433</v>
      </c>
      <c r="AJ216" t="s">
        <v>224</v>
      </c>
      <c r="AK216">
        <v>550</v>
      </c>
      <c r="AL216" s="1">
        <v>6.1796963453238999E-5</v>
      </c>
      <c r="AM216" s="1">
        <v>7.6555944004301102E-7</v>
      </c>
      <c r="AN216" s="1">
        <v>9.0785600470542904E-8</v>
      </c>
      <c r="AO216">
        <f t="shared" si="58"/>
        <v>6.1801771943225447E-5</v>
      </c>
      <c r="AQ216" t="s">
        <v>433</v>
      </c>
      <c r="AR216" t="s">
        <v>224</v>
      </c>
      <c r="AS216">
        <v>600</v>
      </c>
      <c r="AT216" s="1">
        <v>4.8813299503187599E-5</v>
      </c>
      <c r="AU216" s="1">
        <v>-1.6758330999007501E-7</v>
      </c>
      <c r="AV216" s="1">
        <v>7.1654015045216196E-7</v>
      </c>
      <c r="AW216">
        <f t="shared" si="67"/>
        <v>4.8818845975103628E-5</v>
      </c>
      <c r="AY216" t="s">
        <v>433</v>
      </c>
      <c r="AZ216" t="s">
        <v>224</v>
      </c>
      <c r="BA216">
        <v>800</v>
      </c>
      <c r="BB216">
        <v>1.7979920842119016E-5</v>
      </c>
      <c r="BD216">
        <f t="shared" si="68"/>
        <v>1.2698838383729086E-4</v>
      </c>
      <c r="BF216">
        <f t="shared" si="69"/>
        <v>1.3997130980541268E-4</v>
      </c>
      <c r="BH216">
        <f t="shared" si="60"/>
        <v>1.7081023493839727E-4</v>
      </c>
      <c r="BJ216">
        <f t="shared" si="61"/>
        <v>0.13544922521040537</v>
      </c>
      <c r="BL216" s="1">
        <f t="shared" si="62"/>
        <v>0.15768300683948999</v>
      </c>
      <c r="BN216">
        <f t="shared" si="63"/>
        <v>0.14336585088134321</v>
      </c>
      <c r="BP216">
        <v>12.344985709781549</v>
      </c>
      <c r="BQ216" s="4">
        <v>79.939999999999969</v>
      </c>
      <c r="BR216">
        <v>11.25</v>
      </c>
      <c r="BT216" s="1">
        <v>3.3202999999999999E-7</v>
      </c>
      <c r="BV216" s="11">
        <f t="shared" si="64"/>
        <v>7.578267281596677</v>
      </c>
    </row>
    <row r="217" spans="1:74" x14ac:dyDescent="0.25">
      <c r="A217" t="s">
        <v>217</v>
      </c>
      <c r="B217" t="s">
        <v>5</v>
      </c>
      <c r="C217" s="1">
        <v>3.6600000000000001E-3</v>
      </c>
      <c r="D217">
        <v>2.197316545243311E-8</v>
      </c>
      <c r="F217" t="s">
        <v>217</v>
      </c>
      <c r="G217" t="s">
        <v>6</v>
      </c>
      <c r="H217" s="1">
        <v>1.7600000000000001E-3</v>
      </c>
      <c r="I217">
        <v>1.0558773603027959E-8</v>
      </c>
      <c r="K217" t="s">
        <v>217</v>
      </c>
      <c r="L217" t="s">
        <v>7</v>
      </c>
      <c r="M217" s="1">
        <v>1.66E-3</v>
      </c>
      <c r="N217">
        <v>9.9607680426762276E-9</v>
      </c>
      <c r="P217" t="s">
        <v>217</v>
      </c>
      <c r="Q217" t="s">
        <v>446</v>
      </c>
      <c r="R217">
        <v>8.2786109946053143E-9</v>
      </c>
      <c r="T217">
        <f t="shared" si="65"/>
        <v>1.1414391849405152E-8</v>
      </c>
      <c r="V217" s="1">
        <f t="shared" si="66"/>
        <v>1.2012397409756883E-8</v>
      </c>
      <c r="X217">
        <f t="shared" si="59"/>
        <v>1.3694554457827796E-8</v>
      </c>
      <c r="AA217" t="s">
        <v>434</v>
      </c>
      <c r="AB217" t="s">
        <v>224</v>
      </c>
      <c r="AC217">
        <v>350</v>
      </c>
      <c r="AD217" s="1">
        <v>1.80973034028085E-4</v>
      </c>
      <c r="AE217" s="1">
        <v>1.9782132900678199E-6</v>
      </c>
      <c r="AF217" s="1">
        <v>4.9863004004255102E-6</v>
      </c>
      <c r="AG217">
        <f t="shared" si="70"/>
        <v>1.8105252156441981E-4</v>
      </c>
      <c r="AI217" t="s">
        <v>434</v>
      </c>
      <c r="AJ217" t="s">
        <v>224</v>
      </c>
      <c r="AK217">
        <v>550</v>
      </c>
      <c r="AL217" s="1">
        <v>5.5304733464685903E-5</v>
      </c>
      <c r="AM217" s="1">
        <v>1.88091481002316E-6</v>
      </c>
      <c r="AN217" s="1">
        <v>9.7014774982170807E-7</v>
      </c>
      <c r="AO217">
        <f t="shared" si="58"/>
        <v>5.5345212717804213E-5</v>
      </c>
      <c r="AQ217" t="s">
        <v>434</v>
      </c>
      <c r="AR217" t="s">
        <v>224</v>
      </c>
      <c r="AS217">
        <v>600</v>
      </c>
      <c r="AT217" s="1">
        <v>4.3915690338436503E-5</v>
      </c>
      <c r="AU217" s="1">
        <v>1.92216305002481E-6</v>
      </c>
      <c r="AV217" s="1">
        <v>1.5665449998630599E-6</v>
      </c>
      <c r="AW217">
        <f t="shared" si="67"/>
        <v>4.3985641201748123E-5</v>
      </c>
      <c r="AY217" t="s">
        <v>434</v>
      </c>
      <c r="AZ217" t="s">
        <v>224</v>
      </c>
      <c r="BA217">
        <v>800</v>
      </c>
      <c r="BB217">
        <v>1.7581579310471203E-5</v>
      </c>
      <c r="BD217">
        <f t="shared" si="68"/>
        <v>1.2570730884661559E-4</v>
      </c>
      <c r="BF217">
        <f t="shared" si="69"/>
        <v>1.3706688036267168E-4</v>
      </c>
      <c r="BH217">
        <f t="shared" si="60"/>
        <v>1.6347094225394862E-4</v>
      </c>
      <c r="BJ217">
        <f t="shared" si="61"/>
        <v>9.0801338077586724E-2</v>
      </c>
      <c r="BL217" s="1">
        <f t="shared" si="62"/>
        <v>8.7638949525755003E-2</v>
      </c>
      <c r="BN217">
        <f t="shared" si="63"/>
        <v>8.3773631380637661E-2</v>
      </c>
      <c r="BP217">
        <v>7.5581841914763013</v>
      </c>
      <c r="BQ217" s="4">
        <v>79.959999999999965</v>
      </c>
      <c r="BR217">
        <v>10.4</v>
      </c>
      <c r="BT217" s="1">
        <v>3.3629E-7</v>
      </c>
      <c r="BV217" s="11">
        <f t="shared" si="64"/>
        <v>6.282685689215441</v>
      </c>
    </row>
    <row r="218" spans="1:74" x14ac:dyDescent="0.25">
      <c r="A218" t="s">
        <v>218</v>
      </c>
      <c r="B218" t="s">
        <v>5</v>
      </c>
      <c r="C218" s="1">
        <v>1.65E-3</v>
      </c>
      <c r="D218">
        <v>9.8974441145176469E-9</v>
      </c>
      <c r="F218" t="s">
        <v>218</v>
      </c>
      <c r="G218" t="s">
        <v>6</v>
      </c>
      <c r="H218" s="1">
        <v>9.7400000000000004E-4</v>
      </c>
      <c r="I218">
        <v>5.8450406328784409E-9</v>
      </c>
      <c r="K218" t="s">
        <v>218</v>
      </c>
      <c r="L218" t="s">
        <v>7</v>
      </c>
      <c r="M218" s="1">
        <v>1.0200000000000001E-3</v>
      </c>
      <c r="N218">
        <v>6.1212907135668703E-9</v>
      </c>
      <c r="P218" t="s">
        <v>218</v>
      </c>
      <c r="Q218" t="s">
        <v>446</v>
      </c>
      <c r="R218">
        <v>3.2395987405850128E-9</v>
      </c>
      <c r="T218">
        <f t="shared" si="65"/>
        <v>4.052403481639206E-9</v>
      </c>
      <c r="V218" s="1">
        <f t="shared" si="66"/>
        <v>3.7761534009507766E-9</v>
      </c>
      <c r="X218">
        <f t="shared" si="59"/>
        <v>6.6578453739326342E-9</v>
      </c>
      <c r="AA218" t="s">
        <v>435</v>
      </c>
      <c r="AB218" t="s">
        <v>224</v>
      </c>
      <c r="AC218">
        <v>350</v>
      </c>
      <c r="AD218" s="1">
        <v>1.9181735783010701E-4</v>
      </c>
      <c r="AE218" s="1">
        <v>2.4978374999586399E-6</v>
      </c>
      <c r="AF218" s="1">
        <v>1.4533097002913299E-6</v>
      </c>
      <c r="AG218">
        <f t="shared" si="70"/>
        <v>1.9183912548326651E-4</v>
      </c>
      <c r="AI218" t="s">
        <v>435</v>
      </c>
      <c r="AJ218" t="s">
        <v>224</v>
      </c>
      <c r="AK218">
        <v>550</v>
      </c>
      <c r="AL218" s="1">
        <v>6.35540669291326E-5</v>
      </c>
      <c r="AM218" s="1">
        <v>1.9591680500496299E-6</v>
      </c>
      <c r="AN218" s="1">
        <v>2.9850700035474498E-7</v>
      </c>
      <c r="AO218">
        <f t="shared" ref="AO218" si="71">SQRT(AL218^2+AM218^2+AN218^2)</f>
        <v>6.3584957884001644E-5</v>
      </c>
      <c r="AQ218" t="s">
        <v>435</v>
      </c>
      <c r="AR218" t="s">
        <v>224</v>
      </c>
      <c r="AS218">
        <v>600</v>
      </c>
      <c r="AT218" s="1">
        <v>5.2445454529520098E-5</v>
      </c>
      <c r="AU218" s="1">
        <v>2.3184866000413602E-6</v>
      </c>
      <c r="AV218" s="1">
        <v>2.0056710035566399E-7</v>
      </c>
      <c r="AW218">
        <f t="shared" si="67"/>
        <v>5.2497059994672813E-5</v>
      </c>
      <c r="AY218" t="s">
        <v>435</v>
      </c>
      <c r="AZ218" t="s">
        <v>224</v>
      </c>
      <c r="BA218">
        <v>800</v>
      </c>
      <c r="BB218">
        <v>2.1045971277254625E-5</v>
      </c>
      <c r="BD218">
        <f t="shared" si="68"/>
        <v>1.2825416759926488E-4</v>
      </c>
      <c r="BF218">
        <f t="shared" si="69"/>
        <v>1.393420654885937E-4</v>
      </c>
      <c r="BH218">
        <f t="shared" si="60"/>
        <v>1.7079315420601189E-4</v>
      </c>
      <c r="BJ218">
        <f t="shared" si="61"/>
        <v>3.1596661204032747E-2</v>
      </c>
      <c r="BL218" s="1">
        <f t="shared" si="62"/>
        <v>2.7099881056807544E-2</v>
      </c>
      <c r="BN218">
        <f t="shared" si="63"/>
        <v>3.8981921757249675E-2</v>
      </c>
      <c r="BP218">
        <v>2.7930687292688456</v>
      </c>
      <c r="BQ218" s="4">
        <v>79.979999999999961</v>
      </c>
      <c r="BR218">
        <v>11.12</v>
      </c>
      <c r="BT218" s="1">
        <v>3.3229000000000002E-7</v>
      </c>
      <c r="BV218" s="11">
        <f t="shared" si="64"/>
        <v>2.6785576573698102</v>
      </c>
    </row>
    <row r="219" spans="1:74" x14ac:dyDescent="0.25">
      <c r="A219" t="s">
        <v>452</v>
      </c>
      <c r="B219" t="s">
        <v>5</v>
      </c>
      <c r="D219">
        <v>2.116988958402948E-8</v>
      </c>
      <c r="K219" t="s">
        <v>452</v>
      </c>
      <c r="L219" t="s">
        <v>7</v>
      </c>
      <c r="N219">
        <v>1.2714263643640555E-8</v>
      </c>
      <c r="V219" s="1">
        <f t="shared" si="66"/>
        <v>8.4556259403889244E-9</v>
      </c>
      <c r="AA219" t="s">
        <v>452</v>
      </c>
      <c r="AB219" t="s">
        <v>224</v>
      </c>
      <c r="AC219">
        <v>350</v>
      </c>
      <c r="AG219">
        <v>2.2077339420353766E-4</v>
      </c>
      <c r="AQ219" t="s">
        <v>452</v>
      </c>
      <c r="AR219" t="s">
        <v>224</v>
      </c>
      <c r="AS219">
        <v>600</v>
      </c>
      <c r="AW219">
        <v>5.9674239636311769E-5</v>
      </c>
      <c r="BF219">
        <f t="shared" si="69"/>
        <v>1.6109915456722588E-4</v>
      </c>
      <c r="BL219" s="1">
        <f t="shared" si="62"/>
        <v>5.2487090718160379E-2</v>
      </c>
      <c r="BP219">
        <v>5.5659737006108587</v>
      </c>
      <c r="BQ219" s="17">
        <v>80.399999999999991</v>
      </c>
      <c r="BR219">
        <v>14.16</v>
      </c>
      <c r="BT219" s="1"/>
    </row>
    <row r="220" spans="1:74" x14ac:dyDescent="0.25">
      <c r="B220" s="1"/>
      <c r="C220" s="1"/>
      <c r="D220" s="1"/>
      <c r="H220" s="1"/>
      <c r="I220" s="1"/>
      <c r="J220" s="1"/>
    </row>
    <row r="221" spans="1:74" x14ac:dyDescent="0.25">
      <c r="C221" s="1"/>
      <c r="D221" s="1"/>
      <c r="H221" s="1"/>
      <c r="I221" s="1"/>
      <c r="J221" s="1"/>
    </row>
    <row r="222" spans="1:74" x14ac:dyDescent="0.25">
      <c r="B222" s="1"/>
      <c r="C222" s="1"/>
      <c r="D222" s="1"/>
      <c r="H222" s="1"/>
      <c r="I222" s="1"/>
      <c r="J222" s="1"/>
      <c r="AA222" s="1"/>
      <c r="AB222" s="1"/>
      <c r="AC222" s="1"/>
    </row>
    <row r="223" spans="1:74" x14ac:dyDescent="0.25">
      <c r="B223" s="1"/>
      <c r="C223" s="1"/>
      <c r="D223" s="1"/>
      <c r="H223" s="1"/>
      <c r="I223" s="1"/>
      <c r="J223" s="1"/>
      <c r="AA223" s="1"/>
      <c r="AB223" s="1"/>
      <c r="AC223" s="1"/>
      <c r="AJ223" s="1"/>
      <c r="AK223" s="1"/>
      <c r="AO223" s="1"/>
      <c r="AQ223">
        <f>SQRT(AJ223^2+AK223^2+AO223^2)</f>
        <v>0</v>
      </c>
      <c r="AS223" s="1"/>
      <c r="AV223" s="1"/>
      <c r="AW223" s="1"/>
      <c r="AX223" s="1"/>
      <c r="AZ223" s="1"/>
      <c r="BA223" s="1"/>
      <c r="BB223" s="1"/>
      <c r="BC223" s="1"/>
      <c r="BG223" s="1"/>
    </row>
    <row r="224" spans="1:74" x14ac:dyDescent="0.25">
      <c r="AA224" s="1"/>
      <c r="AB224" s="1"/>
      <c r="AC224" s="1"/>
      <c r="AJ224" s="1"/>
      <c r="AK224" s="1"/>
      <c r="AO224" s="1"/>
      <c r="AQ224">
        <f t="shared" ref="AQ224:AQ226" si="72">SQRT(AJ224^2+AK224^2+AO224^2)</f>
        <v>0</v>
      </c>
    </row>
    <row r="225" spans="2:43" x14ac:dyDescent="0.25">
      <c r="B225" s="1"/>
      <c r="C225" s="1"/>
      <c r="D225" s="1"/>
      <c r="H225" s="1"/>
      <c r="I225" s="1"/>
      <c r="J225" s="1"/>
      <c r="AA225" s="1"/>
      <c r="AB225" s="1"/>
      <c r="AC225" s="1"/>
      <c r="AJ225" s="1"/>
      <c r="AK225" s="1"/>
      <c r="AO225" s="1"/>
      <c r="AQ225">
        <f>SQRT(AJ225^2+AK225^2+AO225^2)</f>
        <v>0</v>
      </c>
    </row>
    <row r="226" spans="2:43" x14ac:dyDescent="0.25">
      <c r="AA226" s="1"/>
      <c r="AB226" s="1"/>
      <c r="AC226" s="1"/>
      <c r="AJ226" s="1"/>
      <c r="AK226" s="1"/>
      <c r="AO226" s="1"/>
      <c r="AQ226">
        <f t="shared" si="72"/>
        <v>0</v>
      </c>
    </row>
  </sheetData>
  <mergeCells count="1">
    <mergeCell ref="CA43:CC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2024-01-26T17:12:50Z</dcterms:modified>
</cp:coreProperties>
</file>